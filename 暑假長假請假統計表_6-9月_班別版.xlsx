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0904211\Desktop\"/>
    </mc:Choice>
  </mc:AlternateContent>
  <xr:revisionPtr revIDLastSave="0" documentId="13_ncr:1_{5C2D5C4E-F253-4FD4-B2DB-30CF27C6AB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請假明細" sheetId="1" r:id="rId1"/>
    <sheet name="每日重疊統計" sheetId="2" r:id="rId2"/>
    <sheet name="統計總表" sheetId="3" r:id="rId3"/>
    <sheet name="清單設定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3" l="1"/>
  <c r="D14" i="3"/>
  <c r="C14" i="3"/>
  <c r="B14" i="3"/>
  <c r="B10" i="3"/>
  <c r="B9" i="3"/>
  <c r="H6" i="3"/>
  <c r="G6" i="3"/>
  <c r="F6" i="3"/>
  <c r="E6" i="3"/>
  <c r="H5" i="3"/>
  <c r="G5" i="3"/>
  <c r="F5" i="3"/>
  <c r="E5" i="3"/>
  <c r="H4" i="3"/>
  <c r="G4" i="3"/>
  <c r="F4" i="3"/>
  <c r="E4" i="3"/>
  <c r="B4" i="3"/>
  <c r="G125" i="2"/>
  <c r="F125" i="2"/>
  <c r="E125" i="2"/>
  <c r="D125" i="2"/>
  <c r="G124" i="2"/>
  <c r="F124" i="2"/>
  <c r="E124" i="2"/>
  <c r="D124" i="2"/>
  <c r="G123" i="2"/>
  <c r="F123" i="2"/>
  <c r="E123" i="2"/>
  <c r="D123" i="2"/>
  <c r="G122" i="2"/>
  <c r="F122" i="2"/>
  <c r="E122" i="2"/>
  <c r="D122" i="2"/>
  <c r="G121" i="2"/>
  <c r="F121" i="2"/>
  <c r="E121" i="2"/>
  <c r="D121" i="2"/>
  <c r="G120" i="2"/>
  <c r="F120" i="2"/>
  <c r="E120" i="2"/>
  <c r="D120" i="2"/>
  <c r="G119" i="2"/>
  <c r="F119" i="2"/>
  <c r="E119" i="2"/>
  <c r="D119" i="2"/>
  <c r="G118" i="2"/>
  <c r="F118" i="2"/>
  <c r="E118" i="2"/>
  <c r="D118" i="2"/>
  <c r="G117" i="2"/>
  <c r="F117" i="2"/>
  <c r="E117" i="2"/>
  <c r="D117" i="2"/>
  <c r="G116" i="2"/>
  <c r="F116" i="2"/>
  <c r="E116" i="2"/>
  <c r="D116" i="2"/>
  <c r="G115" i="2"/>
  <c r="F115" i="2"/>
  <c r="E115" i="2"/>
  <c r="D115" i="2"/>
  <c r="G114" i="2"/>
  <c r="F114" i="2"/>
  <c r="E114" i="2"/>
  <c r="D114" i="2"/>
  <c r="G113" i="2"/>
  <c r="F113" i="2"/>
  <c r="E113" i="2"/>
  <c r="D113" i="2"/>
  <c r="G112" i="2"/>
  <c r="F112" i="2"/>
  <c r="E112" i="2"/>
  <c r="D112" i="2"/>
  <c r="G111" i="2"/>
  <c r="F111" i="2"/>
  <c r="E111" i="2"/>
  <c r="D111" i="2"/>
  <c r="G110" i="2"/>
  <c r="F110" i="2"/>
  <c r="E110" i="2"/>
  <c r="D110" i="2"/>
  <c r="G109" i="2"/>
  <c r="F109" i="2"/>
  <c r="E109" i="2"/>
  <c r="D109" i="2"/>
  <c r="G108" i="2"/>
  <c r="F108" i="2"/>
  <c r="E108" i="2"/>
  <c r="D108" i="2"/>
  <c r="G107" i="2"/>
  <c r="F107" i="2"/>
  <c r="E107" i="2"/>
  <c r="D107" i="2"/>
  <c r="G106" i="2"/>
  <c r="F106" i="2"/>
  <c r="E106" i="2"/>
  <c r="D106" i="2"/>
  <c r="G105" i="2"/>
  <c r="F105" i="2"/>
  <c r="E105" i="2"/>
  <c r="D105" i="2"/>
  <c r="G104" i="2"/>
  <c r="F104" i="2"/>
  <c r="E104" i="2"/>
  <c r="D104" i="2"/>
  <c r="G103" i="2"/>
  <c r="F103" i="2"/>
  <c r="E103" i="2"/>
  <c r="D103" i="2"/>
  <c r="G102" i="2"/>
  <c r="F102" i="2"/>
  <c r="E102" i="2"/>
  <c r="D102" i="2"/>
  <c r="G101" i="2"/>
  <c r="F101" i="2"/>
  <c r="E101" i="2"/>
  <c r="D101" i="2"/>
  <c r="G100" i="2"/>
  <c r="F100" i="2"/>
  <c r="E100" i="2"/>
  <c r="D100" i="2"/>
  <c r="G99" i="2"/>
  <c r="F99" i="2"/>
  <c r="E99" i="2"/>
  <c r="D99" i="2"/>
  <c r="G98" i="2"/>
  <c r="F98" i="2"/>
  <c r="E98" i="2"/>
  <c r="D98" i="2"/>
  <c r="G97" i="2"/>
  <c r="F97" i="2"/>
  <c r="E97" i="2"/>
  <c r="D97" i="2"/>
  <c r="G96" i="2"/>
  <c r="F96" i="2"/>
  <c r="E96" i="2"/>
  <c r="D96" i="2"/>
  <c r="G95" i="2"/>
  <c r="F95" i="2"/>
  <c r="E95" i="2"/>
  <c r="D95" i="2"/>
  <c r="G94" i="2"/>
  <c r="F94" i="2"/>
  <c r="E94" i="2"/>
  <c r="D94" i="2"/>
  <c r="G93" i="2"/>
  <c r="F93" i="2"/>
  <c r="E93" i="2"/>
  <c r="D93" i="2"/>
  <c r="G92" i="2"/>
  <c r="F92" i="2"/>
  <c r="E92" i="2"/>
  <c r="D92" i="2"/>
  <c r="G91" i="2"/>
  <c r="F91" i="2"/>
  <c r="E91" i="2"/>
  <c r="D91" i="2"/>
  <c r="G90" i="2"/>
  <c r="F90" i="2"/>
  <c r="E90" i="2"/>
  <c r="D90" i="2"/>
  <c r="G89" i="2"/>
  <c r="F89" i="2"/>
  <c r="E89" i="2"/>
  <c r="D89" i="2"/>
  <c r="G88" i="2"/>
  <c r="F88" i="2"/>
  <c r="E88" i="2"/>
  <c r="D88" i="2"/>
  <c r="G87" i="2"/>
  <c r="F87" i="2"/>
  <c r="E87" i="2"/>
  <c r="D87" i="2"/>
  <c r="G86" i="2"/>
  <c r="F86" i="2"/>
  <c r="E86" i="2"/>
  <c r="D86" i="2"/>
  <c r="G85" i="2"/>
  <c r="F85" i="2"/>
  <c r="E85" i="2"/>
  <c r="D85" i="2"/>
  <c r="G84" i="2"/>
  <c r="F84" i="2"/>
  <c r="E84" i="2"/>
  <c r="D84" i="2"/>
  <c r="G83" i="2"/>
  <c r="F83" i="2"/>
  <c r="E83" i="2"/>
  <c r="D83" i="2"/>
  <c r="G82" i="2"/>
  <c r="F82" i="2"/>
  <c r="E82" i="2"/>
  <c r="D82" i="2"/>
  <c r="G81" i="2"/>
  <c r="F81" i="2"/>
  <c r="E81" i="2"/>
  <c r="D81" i="2"/>
  <c r="G80" i="2"/>
  <c r="F80" i="2"/>
  <c r="E80" i="2"/>
  <c r="D80" i="2"/>
  <c r="G79" i="2"/>
  <c r="F79" i="2"/>
  <c r="E79" i="2"/>
  <c r="D79" i="2"/>
  <c r="G78" i="2"/>
  <c r="F78" i="2"/>
  <c r="E78" i="2"/>
  <c r="D78" i="2"/>
  <c r="G77" i="2"/>
  <c r="F77" i="2"/>
  <c r="E77" i="2"/>
  <c r="D77" i="2"/>
  <c r="G76" i="2"/>
  <c r="F76" i="2"/>
  <c r="E76" i="2"/>
  <c r="D76" i="2"/>
  <c r="G75" i="2"/>
  <c r="F75" i="2"/>
  <c r="E75" i="2"/>
  <c r="D75" i="2"/>
  <c r="G74" i="2"/>
  <c r="F74" i="2"/>
  <c r="E74" i="2"/>
  <c r="D74" i="2"/>
  <c r="G73" i="2"/>
  <c r="F73" i="2"/>
  <c r="E73" i="2"/>
  <c r="D73" i="2"/>
  <c r="G72" i="2"/>
  <c r="F72" i="2"/>
  <c r="E72" i="2"/>
  <c r="D72" i="2"/>
  <c r="G71" i="2"/>
  <c r="F71" i="2"/>
  <c r="E71" i="2"/>
  <c r="D71" i="2"/>
  <c r="G70" i="2"/>
  <c r="F70" i="2"/>
  <c r="E70" i="2"/>
  <c r="D70" i="2"/>
  <c r="G69" i="2"/>
  <c r="F69" i="2"/>
  <c r="E69" i="2"/>
  <c r="D69" i="2"/>
  <c r="G68" i="2"/>
  <c r="F68" i="2"/>
  <c r="E68" i="2"/>
  <c r="D68" i="2"/>
  <c r="G67" i="2"/>
  <c r="F67" i="2"/>
  <c r="E67" i="2"/>
  <c r="D67" i="2"/>
  <c r="G66" i="2"/>
  <c r="F66" i="2"/>
  <c r="E66" i="2"/>
  <c r="D66" i="2"/>
  <c r="G65" i="2"/>
  <c r="F65" i="2"/>
  <c r="E65" i="2"/>
  <c r="D65" i="2"/>
  <c r="G64" i="2"/>
  <c r="F64" i="2"/>
  <c r="E64" i="2"/>
  <c r="D64" i="2"/>
  <c r="G63" i="2"/>
  <c r="F63" i="2"/>
  <c r="E63" i="2"/>
  <c r="D63" i="2"/>
  <c r="G62" i="2"/>
  <c r="F62" i="2"/>
  <c r="E62" i="2"/>
  <c r="D62" i="2"/>
  <c r="G61" i="2"/>
  <c r="F61" i="2"/>
  <c r="E61" i="2"/>
  <c r="D61" i="2"/>
  <c r="G60" i="2"/>
  <c r="F60" i="2"/>
  <c r="E60" i="2"/>
  <c r="D60" i="2"/>
  <c r="G59" i="2"/>
  <c r="F59" i="2"/>
  <c r="E59" i="2"/>
  <c r="D59" i="2"/>
  <c r="G58" i="2"/>
  <c r="F58" i="2"/>
  <c r="E58" i="2"/>
  <c r="D58" i="2"/>
  <c r="G57" i="2"/>
  <c r="F57" i="2"/>
  <c r="E57" i="2"/>
  <c r="D57" i="2"/>
  <c r="G56" i="2"/>
  <c r="F56" i="2"/>
  <c r="E56" i="2"/>
  <c r="D56" i="2"/>
  <c r="G55" i="2"/>
  <c r="F55" i="2"/>
  <c r="E55" i="2"/>
  <c r="D55" i="2"/>
  <c r="G54" i="2"/>
  <c r="F54" i="2"/>
  <c r="E54" i="2"/>
  <c r="D54" i="2"/>
  <c r="G53" i="2"/>
  <c r="F53" i="2"/>
  <c r="E53" i="2"/>
  <c r="D53" i="2"/>
  <c r="G52" i="2"/>
  <c r="F52" i="2"/>
  <c r="E52" i="2"/>
  <c r="D52" i="2"/>
  <c r="G51" i="2"/>
  <c r="F51" i="2"/>
  <c r="E51" i="2"/>
  <c r="D51" i="2"/>
  <c r="G50" i="2"/>
  <c r="F50" i="2"/>
  <c r="E50" i="2"/>
  <c r="D50" i="2"/>
  <c r="G49" i="2"/>
  <c r="F49" i="2"/>
  <c r="E49" i="2"/>
  <c r="D49" i="2"/>
  <c r="G48" i="2"/>
  <c r="F48" i="2"/>
  <c r="E48" i="2"/>
  <c r="D48" i="2"/>
  <c r="G47" i="2"/>
  <c r="F47" i="2"/>
  <c r="E47" i="2"/>
  <c r="D47" i="2"/>
  <c r="G46" i="2"/>
  <c r="F46" i="2"/>
  <c r="E46" i="2"/>
  <c r="D46" i="2"/>
  <c r="G45" i="2"/>
  <c r="F45" i="2"/>
  <c r="E45" i="2"/>
  <c r="D45" i="2"/>
  <c r="G44" i="2"/>
  <c r="F44" i="2"/>
  <c r="E44" i="2"/>
  <c r="D44" i="2"/>
  <c r="G43" i="2"/>
  <c r="F43" i="2"/>
  <c r="E43" i="2"/>
  <c r="D43" i="2"/>
  <c r="G42" i="2"/>
  <c r="F42" i="2"/>
  <c r="E42" i="2"/>
  <c r="D42" i="2"/>
  <c r="G41" i="2"/>
  <c r="F41" i="2"/>
  <c r="E41" i="2"/>
  <c r="D41" i="2"/>
  <c r="G40" i="2"/>
  <c r="F40" i="2"/>
  <c r="E40" i="2"/>
  <c r="D40" i="2"/>
  <c r="G39" i="2"/>
  <c r="F39" i="2"/>
  <c r="E39" i="2"/>
  <c r="D39" i="2"/>
  <c r="G38" i="2"/>
  <c r="F38" i="2"/>
  <c r="E38" i="2"/>
  <c r="D38" i="2"/>
  <c r="G37" i="2"/>
  <c r="F37" i="2"/>
  <c r="E37" i="2"/>
  <c r="D37" i="2"/>
  <c r="G36" i="2"/>
  <c r="F36" i="2"/>
  <c r="E36" i="2"/>
  <c r="D36" i="2"/>
  <c r="G35" i="2"/>
  <c r="F35" i="2"/>
  <c r="E35" i="2"/>
  <c r="D35" i="2"/>
  <c r="G34" i="2"/>
  <c r="F34" i="2"/>
  <c r="E34" i="2"/>
  <c r="D34" i="2"/>
  <c r="G33" i="2"/>
  <c r="F33" i="2"/>
  <c r="E33" i="2"/>
  <c r="D33" i="2"/>
  <c r="G32" i="2"/>
  <c r="F32" i="2"/>
  <c r="E32" i="2"/>
  <c r="D32" i="2"/>
  <c r="G31" i="2"/>
  <c r="F31" i="2"/>
  <c r="E31" i="2"/>
  <c r="D31" i="2"/>
  <c r="G30" i="2"/>
  <c r="F30" i="2"/>
  <c r="E30" i="2"/>
  <c r="D30" i="2"/>
  <c r="G29" i="2"/>
  <c r="F29" i="2"/>
  <c r="E29" i="2"/>
  <c r="D29" i="2"/>
  <c r="G28" i="2"/>
  <c r="F28" i="2"/>
  <c r="E28" i="2"/>
  <c r="D28" i="2"/>
  <c r="G27" i="2"/>
  <c r="F27" i="2"/>
  <c r="E27" i="2"/>
  <c r="D27" i="2"/>
  <c r="G26" i="2"/>
  <c r="F26" i="2"/>
  <c r="E26" i="2"/>
  <c r="D26" i="2"/>
  <c r="G25" i="2"/>
  <c r="F25" i="2"/>
  <c r="E25" i="2"/>
  <c r="D25" i="2"/>
  <c r="G24" i="2"/>
  <c r="F24" i="2"/>
  <c r="E24" i="2"/>
  <c r="D24" i="2"/>
  <c r="G23" i="2"/>
  <c r="F23" i="2"/>
  <c r="E23" i="2"/>
  <c r="D23" i="2"/>
  <c r="G22" i="2"/>
  <c r="F22" i="2"/>
  <c r="E22" i="2"/>
  <c r="D22" i="2"/>
  <c r="G21" i="2"/>
  <c r="F21" i="2"/>
  <c r="E21" i="2"/>
  <c r="D21" i="2"/>
  <c r="G20" i="2"/>
  <c r="F20" i="2"/>
  <c r="E20" i="2"/>
  <c r="D20" i="2"/>
  <c r="G19" i="2"/>
  <c r="F19" i="2"/>
  <c r="E19" i="2"/>
  <c r="D19" i="2"/>
  <c r="G18" i="2"/>
  <c r="F18" i="2"/>
  <c r="E18" i="2"/>
  <c r="D18" i="2"/>
  <c r="G17" i="2"/>
  <c r="F17" i="2"/>
  <c r="E17" i="2"/>
  <c r="D17" i="2"/>
  <c r="G16" i="2"/>
  <c r="F16" i="2"/>
  <c r="E16" i="2"/>
  <c r="D16" i="2"/>
  <c r="G15" i="2"/>
  <c r="F15" i="2"/>
  <c r="E15" i="2"/>
  <c r="D15" i="2"/>
  <c r="G14" i="2"/>
  <c r="F14" i="2"/>
  <c r="E14" i="2"/>
  <c r="D14" i="2"/>
  <c r="G13" i="2"/>
  <c r="F13" i="2"/>
  <c r="E13" i="2"/>
  <c r="D13" i="2"/>
  <c r="G12" i="2"/>
  <c r="F12" i="2"/>
  <c r="E12" i="2"/>
  <c r="D12" i="2"/>
  <c r="G11" i="2"/>
  <c r="F11" i="2"/>
  <c r="E11" i="2"/>
  <c r="D11" i="2"/>
  <c r="G10" i="2"/>
  <c r="F10" i="2"/>
  <c r="E10" i="2"/>
  <c r="D10" i="2"/>
  <c r="G9" i="2"/>
  <c r="F9" i="2"/>
  <c r="E9" i="2"/>
  <c r="D9" i="2"/>
  <c r="G8" i="2"/>
  <c r="F8" i="2"/>
  <c r="E8" i="2"/>
  <c r="D8" i="2"/>
  <c r="G7" i="2"/>
  <c r="F7" i="2"/>
  <c r="E7" i="2"/>
  <c r="D7" i="2"/>
  <c r="G6" i="2"/>
  <c r="F6" i="2"/>
  <c r="E6" i="2"/>
  <c r="D6" i="2"/>
  <c r="G5" i="2"/>
  <c r="F5" i="2"/>
  <c r="E5" i="2"/>
  <c r="D5" i="2"/>
  <c r="G4" i="2"/>
  <c r="F4" i="2"/>
  <c r="E4" i="2"/>
  <c r="D4" i="2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B6" i="3" l="1"/>
  <c r="B8" i="3"/>
  <c r="B5" i="3"/>
  <c r="B7" i="3"/>
</calcChain>
</file>

<file path=xl/sharedStrings.xml><?xml version="1.0" encoding="utf-8"?>
<sst xmlns="http://schemas.openxmlformats.org/spreadsheetml/2006/main" count="203" uniqueCount="56">
  <si>
    <t>暑假長假請假統計表（6–9月）</t>
  </si>
  <si>
    <t>編號</t>
  </si>
  <si>
    <t>姓名</t>
  </si>
  <si>
    <t>部門/班別</t>
  </si>
  <si>
    <t>請假開始日</t>
  </si>
  <si>
    <t>請假結束日</t>
  </si>
  <si>
    <t>請假天數</t>
  </si>
  <si>
    <t>是否跨週</t>
  </si>
  <si>
    <t>代理人</t>
  </si>
  <si>
    <t>主管核准</t>
  </si>
  <si>
    <t>備註</t>
  </si>
  <si>
    <t>每日請假重疊統計（2026/6/1–2026/9/30）</t>
  </si>
  <si>
    <t>日期</t>
  </si>
  <si>
    <t>星期</t>
  </si>
  <si>
    <t>請假人員</t>
  </si>
  <si>
    <t>請假人數</t>
  </si>
  <si>
    <t>A班</t>
  </si>
  <si>
    <t>B班</t>
  </si>
  <si>
    <t>常日班</t>
  </si>
  <si>
    <t>週一</t>
  </si>
  <si>
    <t>週二</t>
  </si>
  <si>
    <t>週三</t>
  </si>
  <si>
    <t>週四</t>
  </si>
  <si>
    <t>週五</t>
  </si>
  <si>
    <t>週六</t>
  </si>
  <si>
    <t>週日</t>
  </si>
  <si>
    <t>6–9月請假統計總表</t>
  </si>
  <si>
    <t>統計項目</t>
  </si>
  <si>
    <t>數量</t>
  </si>
  <si>
    <t>6月</t>
  </si>
  <si>
    <t>7月</t>
  </si>
  <si>
    <t>8月</t>
  </si>
  <si>
    <t>9月</t>
  </si>
  <si>
    <t>總請假人數</t>
  </si>
  <si>
    <t>總請假天數</t>
  </si>
  <si>
    <t>請假 3 天以上人數</t>
  </si>
  <si>
    <t>請假 5 天以上人數</t>
  </si>
  <si>
    <t>同一天最多請假人數</t>
  </si>
  <si>
    <t>未安排代理人人數</t>
  </si>
  <si>
    <t>未核准人數</t>
  </si>
  <si>
    <t>月份</t>
  </si>
  <si>
    <t>請假人次</t>
  </si>
  <si>
    <t>核准狀態</t>
  </si>
  <si>
    <t>是否影響人力</t>
  </si>
  <si>
    <t>未送出</t>
  </si>
  <si>
    <t>是</t>
  </si>
  <si>
    <t>待核准</t>
  </si>
  <si>
    <t>否</t>
  </si>
  <si>
    <t>已核准</t>
  </si>
  <si>
    <t>陳弘政</t>
    <phoneticPr fontId="4" type="noConversion"/>
  </si>
  <si>
    <t>范國梁</t>
    <phoneticPr fontId="4" type="noConversion"/>
  </si>
  <si>
    <t>吳順唐</t>
    <phoneticPr fontId="4" type="noConversion"/>
  </si>
  <si>
    <t>李明峯</t>
    <phoneticPr fontId="4" type="noConversion"/>
  </si>
  <si>
    <t>倪運賢</t>
    <phoneticPr fontId="4" type="noConversion"/>
  </si>
  <si>
    <t>徐曉琳</t>
    <phoneticPr fontId="4" type="noConversion"/>
  </si>
  <si>
    <t>顏仕倫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</si>
</sst>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name val="Carlito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vertical="center"/>
    </xf>
    <xf numFmtId="0" fontId="0" fillId="0" borderId="0" xfId="1" applyFont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0" fillId="0" borderId="0" xfId="1" applyFont="1" applyAlignment="1">
      <alignment vertical="center" wrapText="1"/>
    </xf>
    <xf numFmtId="0" fontId="0" fillId="3" borderId="0" xfId="1" applyFont="1" applyFill="1" applyAlignment="1">
      <alignment vertical="center"/>
    </xf>
    <xf numFmtId="0" fontId="0" fillId="3" borderId="0" xfId="1" applyFont="1" applyFill="1" applyAlignment="1">
      <alignment horizontal="center" vertical="center"/>
    </xf>
    <xf numFmtId="0" fontId="5" fillId="0" borderId="0" xfId="1" applyFont="1" applyAlignment="1">
      <alignment vertical="center"/>
    </xf>
    <xf numFmtId="0" fontId="2" fillId="2" borderId="0" xfId="1" applyFont="1" applyFill="1" applyAlignment="1">
      <alignment horizontal="center" vertical="center"/>
    </xf>
    <xf numFmtId="0" fontId="0" fillId="0" borderId="0" xfId="0"/>
  </cellXfs>
  <cellStyles count="2">
    <cellStyle name="Normal" xfId="1" xr:uid="{00000000-0005-0000-0000-000000000000}"/>
    <cellStyle name="一般" xfId="0" builtinId="0"/>
  </cellStyles>
  <dxfs count="2"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星期</c:v>
          </c:tx>
          <c:invertIfNegative val="1"/>
          <c:cat>
            <c:numRef>
              <c:f>每日重疊統計!$A$4:$A$125</c:f>
              <c:numCache>
                <c:formatCode>m/d/yyyy</c:formatCode>
                <c:ptCount val="122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  <c:pt idx="31">
                  <c:v>46205</c:v>
                </c:pt>
                <c:pt idx="32">
                  <c:v>46206</c:v>
                </c:pt>
                <c:pt idx="33">
                  <c:v>46207</c:v>
                </c:pt>
                <c:pt idx="34">
                  <c:v>46208</c:v>
                </c:pt>
                <c:pt idx="35">
                  <c:v>46209</c:v>
                </c:pt>
                <c:pt idx="36">
                  <c:v>46210</c:v>
                </c:pt>
                <c:pt idx="37">
                  <c:v>46211</c:v>
                </c:pt>
                <c:pt idx="38">
                  <c:v>46212</c:v>
                </c:pt>
                <c:pt idx="39">
                  <c:v>46213</c:v>
                </c:pt>
                <c:pt idx="40">
                  <c:v>46214</c:v>
                </c:pt>
                <c:pt idx="41">
                  <c:v>46215</c:v>
                </c:pt>
                <c:pt idx="42">
                  <c:v>46216</c:v>
                </c:pt>
                <c:pt idx="43">
                  <c:v>46217</c:v>
                </c:pt>
                <c:pt idx="44">
                  <c:v>46218</c:v>
                </c:pt>
                <c:pt idx="45">
                  <c:v>46219</c:v>
                </c:pt>
                <c:pt idx="46">
                  <c:v>46220</c:v>
                </c:pt>
                <c:pt idx="47">
                  <c:v>46221</c:v>
                </c:pt>
                <c:pt idx="48">
                  <c:v>46222</c:v>
                </c:pt>
                <c:pt idx="49">
                  <c:v>46223</c:v>
                </c:pt>
                <c:pt idx="50">
                  <c:v>46224</c:v>
                </c:pt>
                <c:pt idx="51">
                  <c:v>46225</c:v>
                </c:pt>
                <c:pt idx="52">
                  <c:v>46226</c:v>
                </c:pt>
                <c:pt idx="53">
                  <c:v>46227</c:v>
                </c:pt>
                <c:pt idx="54">
                  <c:v>46228</c:v>
                </c:pt>
                <c:pt idx="55">
                  <c:v>46229</c:v>
                </c:pt>
                <c:pt idx="56">
                  <c:v>46230</c:v>
                </c:pt>
                <c:pt idx="57">
                  <c:v>46231</c:v>
                </c:pt>
                <c:pt idx="58">
                  <c:v>46232</c:v>
                </c:pt>
                <c:pt idx="59">
                  <c:v>46233</c:v>
                </c:pt>
                <c:pt idx="60">
                  <c:v>46234</c:v>
                </c:pt>
                <c:pt idx="61">
                  <c:v>46235</c:v>
                </c:pt>
                <c:pt idx="62">
                  <c:v>46236</c:v>
                </c:pt>
                <c:pt idx="63">
                  <c:v>46237</c:v>
                </c:pt>
                <c:pt idx="64">
                  <c:v>46238</c:v>
                </c:pt>
                <c:pt idx="65">
                  <c:v>46239</c:v>
                </c:pt>
                <c:pt idx="66">
                  <c:v>46240</c:v>
                </c:pt>
                <c:pt idx="67">
                  <c:v>46241</c:v>
                </c:pt>
                <c:pt idx="68">
                  <c:v>46242</c:v>
                </c:pt>
                <c:pt idx="69">
                  <c:v>46243</c:v>
                </c:pt>
                <c:pt idx="70">
                  <c:v>46244</c:v>
                </c:pt>
                <c:pt idx="71">
                  <c:v>46245</c:v>
                </c:pt>
                <c:pt idx="72">
                  <c:v>46246</c:v>
                </c:pt>
                <c:pt idx="73">
                  <c:v>46247</c:v>
                </c:pt>
                <c:pt idx="74">
                  <c:v>46248</c:v>
                </c:pt>
                <c:pt idx="75">
                  <c:v>46249</c:v>
                </c:pt>
                <c:pt idx="76">
                  <c:v>46250</c:v>
                </c:pt>
                <c:pt idx="77">
                  <c:v>46251</c:v>
                </c:pt>
                <c:pt idx="78">
                  <c:v>46252</c:v>
                </c:pt>
                <c:pt idx="79">
                  <c:v>46253</c:v>
                </c:pt>
                <c:pt idx="80">
                  <c:v>46254</c:v>
                </c:pt>
                <c:pt idx="81">
                  <c:v>46255</c:v>
                </c:pt>
                <c:pt idx="82">
                  <c:v>46256</c:v>
                </c:pt>
                <c:pt idx="83">
                  <c:v>46257</c:v>
                </c:pt>
                <c:pt idx="84">
                  <c:v>46258</c:v>
                </c:pt>
                <c:pt idx="85">
                  <c:v>46259</c:v>
                </c:pt>
                <c:pt idx="86">
                  <c:v>46260</c:v>
                </c:pt>
                <c:pt idx="87">
                  <c:v>46261</c:v>
                </c:pt>
                <c:pt idx="88">
                  <c:v>46262</c:v>
                </c:pt>
                <c:pt idx="89">
                  <c:v>46263</c:v>
                </c:pt>
                <c:pt idx="90">
                  <c:v>46264</c:v>
                </c:pt>
                <c:pt idx="91">
                  <c:v>46265</c:v>
                </c:pt>
                <c:pt idx="92">
                  <c:v>46266</c:v>
                </c:pt>
                <c:pt idx="93">
                  <c:v>46267</c:v>
                </c:pt>
                <c:pt idx="94">
                  <c:v>46268</c:v>
                </c:pt>
                <c:pt idx="95">
                  <c:v>46269</c:v>
                </c:pt>
                <c:pt idx="96">
                  <c:v>46270</c:v>
                </c:pt>
                <c:pt idx="97">
                  <c:v>46271</c:v>
                </c:pt>
                <c:pt idx="98">
                  <c:v>46272</c:v>
                </c:pt>
                <c:pt idx="99">
                  <c:v>46273</c:v>
                </c:pt>
                <c:pt idx="100">
                  <c:v>46274</c:v>
                </c:pt>
                <c:pt idx="101">
                  <c:v>46275</c:v>
                </c:pt>
                <c:pt idx="102">
                  <c:v>46276</c:v>
                </c:pt>
                <c:pt idx="103">
                  <c:v>46277</c:v>
                </c:pt>
                <c:pt idx="104">
                  <c:v>46278</c:v>
                </c:pt>
                <c:pt idx="105">
                  <c:v>46279</c:v>
                </c:pt>
                <c:pt idx="106">
                  <c:v>46280</c:v>
                </c:pt>
                <c:pt idx="107">
                  <c:v>46281</c:v>
                </c:pt>
                <c:pt idx="108">
                  <c:v>46282</c:v>
                </c:pt>
                <c:pt idx="109">
                  <c:v>46283</c:v>
                </c:pt>
                <c:pt idx="110">
                  <c:v>46284</c:v>
                </c:pt>
                <c:pt idx="111">
                  <c:v>46285</c:v>
                </c:pt>
                <c:pt idx="112">
                  <c:v>46286</c:v>
                </c:pt>
                <c:pt idx="113">
                  <c:v>46287</c:v>
                </c:pt>
                <c:pt idx="114">
                  <c:v>46288</c:v>
                </c:pt>
                <c:pt idx="115">
                  <c:v>46289</c:v>
                </c:pt>
                <c:pt idx="116">
                  <c:v>46290</c:v>
                </c:pt>
                <c:pt idx="117">
                  <c:v>46291</c:v>
                </c:pt>
                <c:pt idx="118">
                  <c:v>46292</c:v>
                </c:pt>
                <c:pt idx="119">
                  <c:v>46293</c:v>
                </c:pt>
                <c:pt idx="120">
                  <c:v>46294</c:v>
                </c:pt>
                <c:pt idx="121">
                  <c:v>46295</c:v>
                </c:pt>
              </c:numCache>
            </c:numRef>
          </c:cat>
          <c:val>
            <c:numRef>
              <c:f>每日重疊統計!$B$4:$B$125</c:f>
              <c:numCache>
                <c:formatCode>General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4-4E0C-A4B5-52D79FF6619D}"/>
            </c:ext>
          </c:extLst>
        </c:ser>
        <c:ser>
          <c:idx val="1"/>
          <c:order val="1"/>
          <c:tx>
            <c:v>請假人員</c:v>
          </c:tx>
          <c:invertIfNegative val="1"/>
          <c:cat>
            <c:numRef>
              <c:f>每日重疊統計!$A$4:$A$125</c:f>
              <c:numCache>
                <c:formatCode>m/d/yyyy</c:formatCode>
                <c:ptCount val="122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  <c:pt idx="31">
                  <c:v>46205</c:v>
                </c:pt>
                <c:pt idx="32">
                  <c:v>46206</c:v>
                </c:pt>
                <c:pt idx="33">
                  <c:v>46207</c:v>
                </c:pt>
                <c:pt idx="34">
                  <c:v>46208</c:v>
                </c:pt>
                <c:pt idx="35">
                  <c:v>46209</c:v>
                </c:pt>
                <c:pt idx="36">
                  <c:v>46210</c:v>
                </c:pt>
                <c:pt idx="37">
                  <c:v>46211</c:v>
                </c:pt>
                <c:pt idx="38">
                  <c:v>46212</c:v>
                </c:pt>
                <c:pt idx="39">
                  <c:v>46213</c:v>
                </c:pt>
                <c:pt idx="40">
                  <c:v>46214</c:v>
                </c:pt>
                <c:pt idx="41">
                  <c:v>46215</c:v>
                </c:pt>
                <c:pt idx="42">
                  <c:v>46216</c:v>
                </c:pt>
                <c:pt idx="43">
                  <c:v>46217</c:v>
                </c:pt>
                <c:pt idx="44">
                  <c:v>46218</c:v>
                </c:pt>
                <c:pt idx="45">
                  <c:v>46219</c:v>
                </c:pt>
                <c:pt idx="46">
                  <c:v>46220</c:v>
                </c:pt>
                <c:pt idx="47">
                  <c:v>46221</c:v>
                </c:pt>
                <c:pt idx="48">
                  <c:v>46222</c:v>
                </c:pt>
                <c:pt idx="49">
                  <c:v>46223</c:v>
                </c:pt>
                <c:pt idx="50">
                  <c:v>46224</c:v>
                </c:pt>
                <c:pt idx="51">
                  <c:v>46225</c:v>
                </c:pt>
                <c:pt idx="52">
                  <c:v>46226</c:v>
                </c:pt>
                <c:pt idx="53">
                  <c:v>46227</c:v>
                </c:pt>
                <c:pt idx="54">
                  <c:v>46228</c:v>
                </c:pt>
                <c:pt idx="55">
                  <c:v>46229</c:v>
                </c:pt>
                <c:pt idx="56">
                  <c:v>46230</c:v>
                </c:pt>
                <c:pt idx="57">
                  <c:v>46231</c:v>
                </c:pt>
                <c:pt idx="58">
                  <c:v>46232</c:v>
                </c:pt>
                <c:pt idx="59">
                  <c:v>46233</c:v>
                </c:pt>
                <c:pt idx="60">
                  <c:v>46234</c:v>
                </c:pt>
                <c:pt idx="61">
                  <c:v>46235</c:v>
                </c:pt>
                <c:pt idx="62">
                  <c:v>46236</c:v>
                </c:pt>
                <c:pt idx="63">
                  <c:v>46237</c:v>
                </c:pt>
                <c:pt idx="64">
                  <c:v>46238</c:v>
                </c:pt>
                <c:pt idx="65">
                  <c:v>46239</c:v>
                </c:pt>
                <c:pt idx="66">
                  <c:v>46240</c:v>
                </c:pt>
                <c:pt idx="67">
                  <c:v>46241</c:v>
                </c:pt>
                <c:pt idx="68">
                  <c:v>46242</c:v>
                </c:pt>
                <c:pt idx="69">
                  <c:v>46243</c:v>
                </c:pt>
                <c:pt idx="70">
                  <c:v>46244</c:v>
                </c:pt>
                <c:pt idx="71">
                  <c:v>46245</c:v>
                </c:pt>
                <c:pt idx="72">
                  <c:v>46246</c:v>
                </c:pt>
                <c:pt idx="73">
                  <c:v>46247</c:v>
                </c:pt>
                <c:pt idx="74">
                  <c:v>46248</c:v>
                </c:pt>
                <c:pt idx="75">
                  <c:v>46249</c:v>
                </c:pt>
                <c:pt idx="76">
                  <c:v>46250</c:v>
                </c:pt>
                <c:pt idx="77">
                  <c:v>46251</c:v>
                </c:pt>
                <c:pt idx="78">
                  <c:v>46252</c:v>
                </c:pt>
                <c:pt idx="79">
                  <c:v>46253</c:v>
                </c:pt>
                <c:pt idx="80">
                  <c:v>46254</c:v>
                </c:pt>
                <c:pt idx="81">
                  <c:v>46255</c:v>
                </c:pt>
                <c:pt idx="82">
                  <c:v>46256</c:v>
                </c:pt>
                <c:pt idx="83">
                  <c:v>46257</c:v>
                </c:pt>
                <c:pt idx="84">
                  <c:v>46258</c:v>
                </c:pt>
                <c:pt idx="85">
                  <c:v>46259</c:v>
                </c:pt>
                <c:pt idx="86">
                  <c:v>46260</c:v>
                </c:pt>
                <c:pt idx="87">
                  <c:v>46261</c:v>
                </c:pt>
                <c:pt idx="88">
                  <c:v>46262</c:v>
                </c:pt>
                <c:pt idx="89">
                  <c:v>46263</c:v>
                </c:pt>
                <c:pt idx="90">
                  <c:v>46264</c:v>
                </c:pt>
                <c:pt idx="91">
                  <c:v>46265</c:v>
                </c:pt>
                <c:pt idx="92">
                  <c:v>46266</c:v>
                </c:pt>
                <c:pt idx="93">
                  <c:v>46267</c:v>
                </c:pt>
                <c:pt idx="94">
                  <c:v>46268</c:v>
                </c:pt>
                <c:pt idx="95">
                  <c:v>46269</c:v>
                </c:pt>
                <c:pt idx="96">
                  <c:v>46270</c:v>
                </c:pt>
                <c:pt idx="97">
                  <c:v>46271</c:v>
                </c:pt>
                <c:pt idx="98">
                  <c:v>46272</c:v>
                </c:pt>
                <c:pt idx="99">
                  <c:v>46273</c:v>
                </c:pt>
                <c:pt idx="100">
                  <c:v>46274</c:v>
                </c:pt>
                <c:pt idx="101">
                  <c:v>46275</c:v>
                </c:pt>
                <c:pt idx="102">
                  <c:v>46276</c:v>
                </c:pt>
                <c:pt idx="103">
                  <c:v>46277</c:v>
                </c:pt>
                <c:pt idx="104">
                  <c:v>46278</c:v>
                </c:pt>
                <c:pt idx="105">
                  <c:v>46279</c:v>
                </c:pt>
                <c:pt idx="106">
                  <c:v>46280</c:v>
                </c:pt>
                <c:pt idx="107">
                  <c:v>46281</c:v>
                </c:pt>
                <c:pt idx="108">
                  <c:v>46282</c:v>
                </c:pt>
                <c:pt idx="109">
                  <c:v>46283</c:v>
                </c:pt>
                <c:pt idx="110">
                  <c:v>46284</c:v>
                </c:pt>
                <c:pt idx="111">
                  <c:v>46285</c:v>
                </c:pt>
                <c:pt idx="112">
                  <c:v>46286</c:v>
                </c:pt>
                <c:pt idx="113">
                  <c:v>46287</c:v>
                </c:pt>
                <c:pt idx="114">
                  <c:v>46288</c:v>
                </c:pt>
                <c:pt idx="115">
                  <c:v>46289</c:v>
                </c:pt>
                <c:pt idx="116">
                  <c:v>46290</c:v>
                </c:pt>
                <c:pt idx="117">
                  <c:v>46291</c:v>
                </c:pt>
                <c:pt idx="118">
                  <c:v>46292</c:v>
                </c:pt>
                <c:pt idx="119">
                  <c:v>46293</c:v>
                </c:pt>
                <c:pt idx="120">
                  <c:v>46294</c:v>
                </c:pt>
                <c:pt idx="121">
                  <c:v>46295</c:v>
                </c:pt>
              </c:numCache>
            </c:numRef>
          </c:cat>
          <c:val>
            <c:numRef>
              <c:f>每日重疊統計!$C$4:$C$125</c:f>
              <c:numCache>
                <c:formatCode>General</c:formatCode>
                <c:ptCount val="122"/>
              </c:numCache>
            </c:numRef>
          </c:val>
          <c:extLst>
            <c:ext xmlns:c16="http://schemas.microsoft.com/office/drawing/2014/chart" uri="{C3380CC4-5D6E-409C-BE32-E72D297353CC}">
              <c16:uniqueId val="{00000001-E2E4-4E0C-A4B5-52D79FF6619D}"/>
            </c:ext>
          </c:extLst>
        </c:ser>
        <c:ser>
          <c:idx val="2"/>
          <c:order val="2"/>
          <c:tx>
            <c:v>請假人數</c:v>
          </c:tx>
          <c:invertIfNegative val="1"/>
          <c:cat>
            <c:numRef>
              <c:f>每日重疊統計!$A$4:$A$125</c:f>
              <c:numCache>
                <c:formatCode>m/d/yyyy</c:formatCode>
                <c:ptCount val="122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  <c:pt idx="31">
                  <c:v>46205</c:v>
                </c:pt>
                <c:pt idx="32">
                  <c:v>46206</c:v>
                </c:pt>
                <c:pt idx="33">
                  <c:v>46207</c:v>
                </c:pt>
                <c:pt idx="34">
                  <c:v>46208</c:v>
                </c:pt>
                <c:pt idx="35">
                  <c:v>46209</c:v>
                </c:pt>
                <c:pt idx="36">
                  <c:v>46210</c:v>
                </c:pt>
                <c:pt idx="37">
                  <c:v>46211</c:v>
                </c:pt>
                <c:pt idx="38">
                  <c:v>46212</c:v>
                </c:pt>
                <c:pt idx="39">
                  <c:v>46213</c:v>
                </c:pt>
                <c:pt idx="40">
                  <c:v>46214</c:v>
                </c:pt>
                <c:pt idx="41">
                  <c:v>46215</c:v>
                </c:pt>
                <c:pt idx="42">
                  <c:v>46216</c:v>
                </c:pt>
                <c:pt idx="43">
                  <c:v>46217</c:v>
                </c:pt>
                <c:pt idx="44">
                  <c:v>46218</c:v>
                </c:pt>
                <c:pt idx="45">
                  <c:v>46219</c:v>
                </c:pt>
                <c:pt idx="46">
                  <c:v>46220</c:v>
                </c:pt>
                <c:pt idx="47">
                  <c:v>46221</c:v>
                </c:pt>
                <c:pt idx="48">
                  <c:v>46222</c:v>
                </c:pt>
                <c:pt idx="49">
                  <c:v>46223</c:v>
                </c:pt>
                <c:pt idx="50">
                  <c:v>46224</c:v>
                </c:pt>
                <c:pt idx="51">
                  <c:v>46225</c:v>
                </c:pt>
                <c:pt idx="52">
                  <c:v>46226</c:v>
                </c:pt>
                <c:pt idx="53">
                  <c:v>46227</c:v>
                </c:pt>
                <c:pt idx="54">
                  <c:v>46228</c:v>
                </c:pt>
                <c:pt idx="55">
                  <c:v>46229</c:v>
                </c:pt>
                <c:pt idx="56">
                  <c:v>46230</c:v>
                </c:pt>
                <c:pt idx="57">
                  <c:v>46231</c:v>
                </c:pt>
                <c:pt idx="58">
                  <c:v>46232</c:v>
                </c:pt>
                <c:pt idx="59">
                  <c:v>46233</c:v>
                </c:pt>
                <c:pt idx="60">
                  <c:v>46234</c:v>
                </c:pt>
                <c:pt idx="61">
                  <c:v>46235</c:v>
                </c:pt>
                <c:pt idx="62">
                  <c:v>46236</c:v>
                </c:pt>
                <c:pt idx="63">
                  <c:v>46237</c:v>
                </c:pt>
                <c:pt idx="64">
                  <c:v>46238</c:v>
                </c:pt>
                <c:pt idx="65">
                  <c:v>46239</c:v>
                </c:pt>
                <c:pt idx="66">
                  <c:v>46240</c:v>
                </c:pt>
                <c:pt idx="67">
                  <c:v>46241</c:v>
                </c:pt>
                <c:pt idx="68">
                  <c:v>46242</c:v>
                </c:pt>
                <c:pt idx="69">
                  <c:v>46243</c:v>
                </c:pt>
                <c:pt idx="70">
                  <c:v>46244</c:v>
                </c:pt>
                <c:pt idx="71">
                  <c:v>46245</c:v>
                </c:pt>
                <c:pt idx="72">
                  <c:v>46246</c:v>
                </c:pt>
                <c:pt idx="73">
                  <c:v>46247</c:v>
                </c:pt>
                <c:pt idx="74">
                  <c:v>46248</c:v>
                </c:pt>
                <c:pt idx="75">
                  <c:v>46249</c:v>
                </c:pt>
                <c:pt idx="76">
                  <c:v>46250</c:v>
                </c:pt>
                <c:pt idx="77">
                  <c:v>46251</c:v>
                </c:pt>
                <c:pt idx="78">
                  <c:v>46252</c:v>
                </c:pt>
                <c:pt idx="79">
                  <c:v>46253</c:v>
                </c:pt>
                <c:pt idx="80">
                  <c:v>46254</c:v>
                </c:pt>
                <c:pt idx="81">
                  <c:v>46255</c:v>
                </c:pt>
                <c:pt idx="82">
                  <c:v>46256</c:v>
                </c:pt>
                <c:pt idx="83">
                  <c:v>46257</c:v>
                </c:pt>
                <c:pt idx="84">
                  <c:v>46258</c:v>
                </c:pt>
                <c:pt idx="85">
                  <c:v>46259</c:v>
                </c:pt>
                <c:pt idx="86">
                  <c:v>46260</c:v>
                </c:pt>
                <c:pt idx="87">
                  <c:v>46261</c:v>
                </c:pt>
                <c:pt idx="88">
                  <c:v>46262</c:v>
                </c:pt>
                <c:pt idx="89">
                  <c:v>46263</c:v>
                </c:pt>
                <c:pt idx="90">
                  <c:v>46264</c:v>
                </c:pt>
                <c:pt idx="91">
                  <c:v>46265</c:v>
                </c:pt>
                <c:pt idx="92">
                  <c:v>46266</c:v>
                </c:pt>
                <c:pt idx="93">
                  <c:v>46267</c:v>
                </c:pt>
                <c:pt idx="94">
                  <c:v>46268</c:v>
                </c:pt>
                <c:pt idx="95">
                  <c:v>46269</c:v>
                </c:pt>
                <c:pt idx="96">
                  <c:v>46270</c:v>
                </c:pt>
                <c:pt idx="97">
                  <c:v>46271</c:v>
                </c:pt>
                <c:pt idx="98">
                  <c:v>46272</c:v>
                </c:pt>
                <c:pt idx="99">
                  <c:v>46273</c:v>
                </c:pt>
                <c:pt idx="100">
                  <c:v>46274</c:v>
                </c:pt>
                <c:pt idx="101">
                  <c:v>46275</c:v>
                </c:pt>
                <c:pt idx="102">
                  <c:v>46276</c:v>
                </c:pt>
                <c:pt idx="103">
                  <c:v>46277</c:v>
                </c:pt>
                <c:pt idx="104">
                  <c:v>46278</c:v>
                </c:pt>
                <c:pt idx="105">
                  <c:v>46279</c:v>
                </c:pt>
                <c:pt idx="106">
                  <c:v>46280</c:v>
                </c:pt>
                <c:pt idx="107">
                  <c:v>46281</c:v>
                </c:pt>
                <c:pt idx="108">
                  <c:v>46282</c:v>
                </c:pt>
                <c:pt idx="109">
                  <c:v>46283</c:v>
                </c:pt>
                <c:pt idx="110">
                  <c:v>46284</c:v>
                </c:pt>
                <c:pt idx="111">
                  <c:v>46285</c:v>
                </c:pt>
                <c:pt idx="112">
                  <c:v>46286</c:v>
                </c:pt>
                <c:pt idx="113">
                  <c:v>46287</c:v>
                </c:pt>
                <c:pt idx="114">
                  <c:v>46288</c:v>
                </c:pt>
                <c:pt idx="115">
                  <c:v>46289</c:v>
                </c:pt>
                <c:pt idx="116">
                  <c:v>46290</c:v>
                </c:pt>
                <c:pt idx="117">
                  <c:v>46291</c:v>
                </c:pt>
                <c:pt idx="118">
                  <c:v>46292</c:v>
                </c:pt>
                <c:pt idx="119">
                  <c:v>46293</c:v>
                </c:pt>
                <c:pt idx="120">
                  <c:v>46294</c:v>
                </c:pt>
                <c:pt idx="121">
                  <c:v>46295</c:v>
                </c:pt>
              </c:numCache>
            </c:numRef>
          </c:cat>
          <c:val>
            <c:numRef>
              <c:f>每日重疊統計!$D$4:$D$125</c:f>
              <c:numCache>
                <c:formatCode>General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E4-4E0C-A4B5-52D79FF66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/d/yy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aveDetailTable" displayName="LeaveDetailTable" ref="A3:J103">
  <tableColumns count="10">
    <tableColumn id="1" xr3:uid="{00000000-0010-0000-0000-000001000000}" name="編號"/>
    <tableColumn id="2" xr3:uid="{00000000-0010-0000-0000-000002000000}" name="姓名"/>
    <tableColumn id="3" xr3:uid="{00000000-0010-0000-0000-000003000000}" name="部門/班別"/>
    <tableColumn id="4" xr3:uid="{00000000-0010-0000-0000-000004000000}" name="請假開始日"/>
    <tableColumn id="5" xr3:uid="{00000000-0010-0000-0000-000005000000}" name="請假結束日"/>
    <tableColumn id="6" xr3:uid="{00000000-0010-0000-0000-000006000000}" name="請假天數"/>
    <tableColumn id="7" xr3:uid="{00000000-0010-0000-0000-000007000000}" name="是否跨週"/>
    <tableColumn id="8" xr3:uid="{00000000-0010-0000-0000-000008000000}" name="代理人"/>
    <tableColumn id="9" xr3:uid="{00000000-0010-0000-0000-000009000000}" name="主管核准"/>
    <tableColumn id="10" xr3:uid="{00000000-0010-0000-0000-00000A000000}" name="備註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ilyOverlapTable" displayName="DailyOverlapTable" ref="A3:G125">
  <tableColumns count="7">
    <tableColumn id="1" xr3:uid="{00000000-0010-0000-0100-000001000000}" name="日期"/>
    <tableColumn id="2" xr3:uid="{00000000-0010-0000-0100-000002000000}" name="星期"/>
    <tableColumn id="3" xr3:uid="{00000000-0010-0000-0100-000003000000}" name="請假人員"/>
    <tableColumn id="4" xr3:uid="{00000000-0010-0000-0100-000004000000}" name="請假人數"/>
    <tableColumn id="5" xr3:uid="{00000000-0010-0000-0100-000005000000}" name="A班"/>
    <tableColumn id="6" xr3:uid="{00000000-0010-0000-0100-000006000000}" name="B班"/>
    <tableColumn id="7" xr3:uid="{00000000-0010-0000-0100-000007000000}" name="常日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M7" sqref="M7"/>
    </sheetView>
  </sheetViews>
  <sheetFormatPr defaultRowHeight="13.8"/>
  <cols>
    <col min="1" max="1" width="8" customWidth="1"/>
    <col min="2" max="5" width="14" customWidth="1"/>
    <col min="6" max="7" width="10" customWidth="1"/>
    <col min="8" max="8" width="14" customWidth="1"/>
    <col min="9" max="9" width="12" customWidth="1"/>
    <col min="10" max="10" width="28" customWidth="1"/>
  </cols>
  <sheetData>
    <row r="1" spans="1:10" ht="27.9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ht="14.4">
      <c r="A4" s="4">
        <v>1</v>
      </c>
      <c r="B4" s="10" t="s">
        <v>49</v>
      </c>
      <c r="C4" s="4" t="s">
        <v>18</v>
      </c>
      <c r="D4" s="5">
        <v>46190</v>
      </c>
      <c r="E4" s="5">
        <v>46191</v>
      </c>
      <c r="F4" s="6">
        <f t="shared" ref="F4:F35" si="0">IF(OR(D4="",E4=""),"",E4-D4+1)</f>
        <v>2</v>
      </c>
      <c r="G4" s="4" t="str">
        <f t="shared" ref="G4:G35" si="1">IF(OR(D4="",E4=""),"",IF(WEEKNUM(D4)&lt;&gt;WEEKNUM(E4),"是","否"))</f>
        <v>否</v>
      </c>
      <c r="H4" s="10" t="s">
        <v>51</v>
      </c>
      <c r="I4" s="4"/>
      <c r="J4" s="7"/>
    </row>
    <row r="5" spans="1:10" ht="14.4">
      <c r="A5" s="4">
        <v>2</v>
      </c>
      <c r="B5" s="10" t="s">
        <v>51</v>
      </c>
      <c r="C5" s="4" t="s">
        <v>18</v>
      </c>
      <c r="D5" s="5">
        <v>46195</v>
      </c>
      <c r="E5" s="5">
        <v>46199</v>
      </c>
      <c r="F5" s="6">
        <f t="shared" si="0"/>
        <v>5</v>
      </c>
      <c r="G5" s="4" t="str">
        <f t="shared" si="1"/>
        <v>否</v>
      </c>
      <c r="H5" s="3" t="s">
        <v>50</v>
      </c>
      <c r="I5" s="4"/>
      <c r="J5" s="7"/>
    </row>
    <row r="6" spans="1:10" ht="14.4">
      <c r="A6" s="4">
        <v>3</v>
      </c>
      <c r="B6" s="10" t="s">
        <v>52</v>
      </c>
      <c r="C6" s="4" t="s">
        <v>18</v>
      </c>
      <c r="D6" s="5">
        <v>46216</v>
      </c>
      <c r="E6" s="5">
        <v>46220</v>
      </c>
      <c r="F6" s="6">
        <f t="shared" si="0"/>
        <v>5</v>
      </c>
      <c r="G6" s="4" t="str">
        <f t="shared" si="1"/>
        <v>否</v>
      </c>
      <c r="H6" s="3" t="s">
        <v>53</v>
      </c>
      <c r="I6" s="4"/>
      <c r="J6" s="7"/>
    </row>
    <row r="7" spans="1:10" ht="14.4">
      <c r="A7" s="4">
        <v>4</v>
      </c>
      <c r="B7" s="10" t="s">
        <v>52</v>
      </c>
      <c r="C7" s="4" t="s">
        <v>18</v>
      </c>
      <c r="D7" s="5">
        <v>46223</v>
      </c>
      <c r="E7" s="5">
        <v>46223</v>
      </c>
      <c r="F7" s="6">
        <f t="shared" si="0"/>
        <v>1</v>
      </c>
      <c r="G7" s="4" t="str">
        <f t="shared" si="1"/>
        <v>否</v>
      </c>
      <c r="H7" s="3" t="s">
        <v>53</v>
      </c>
      <c r="I7" s="4"/>
      <c r="J7" s="7"/>
    </row>
    <row r="8" spans="1:10" ht="14.4">
      <c r="A8" s="4">
        <v>5</v>
      </c>
      <c r="B8" s="10" t="s">
        <v>50</v>
      </c>
      <c r="C8" s="4" t="s">
        <v>18</v>
      </c>
      <c r="D8" s="5">
        <v>46191</v>
      </c>
      <c r="E8" s="5">
        <v>46191</v>
      </c>
      <c r="F8" s="6">
        <f t="shared" si="0"/>
        <v>1</v>
      </c>
      <c r="G8" s="4" t="str">
        <f t="shared" si="1"/>
        <v>否</v>
      </c>
      <c r="H8" s="3" t="s">
        <v>51</v>
      </c>
      <c r="I8" s="4"/>
      <c r="J8" s="7"/>
    </row>
    <row r="9" spans="1:10" ht="14.4">
      <c r="A9" s="4">
        <v>6</v>
      </c>
      <c r="B9" s="10" t="s">
        <v>53</v>
      </c>
      <c r="C9" s="4" t="s">
        <v>18</v>
      </c>
      <c r="D9" s="5">
        <v>46197</v>
      </c>
      <c r="E9" s="5">
        <v>46198</v>
      </c>
      <c r="F9" s="6">
        <f t="shared" si="0"/>
        <v>2</v>
      </c>
      <c r="G9" s="4" t="str">
        <f t="shared" si="1"/>
        <v>否</v>
      </c>
      <c r="H9" s="3" t="s">
        <v>52</v>
      </c>
      <c r="I9" s="4"/>
      <c r="J9" s="7"/>
    </row>
    <row r="10" spans="1:10">
      <c r="A10" s="4">
        <v>7</v>
      </c>
      <c r="B10" s="3" t="s">
        <v>54</v>
      </c>
      <c r="C10" s="4" t="s">
        <v>18</v>
      </c>
      <c r="D10" s="5">
        <v>46199</v>
      </c>
      <c r="E10" s="5">
        <v>46199</v>
      </c>
      <c r="F10" s="6">
        <f t="shared" si="0"/>
        <v>1</v>
      </c>
      <c r="G10" s="4" t="str">
        <f t="shared" si="1"/>
        <v>否</v>
      </c>
      <c r="H10" s="3" t="s">
        <v>49</v>
      </c>
      <c r="I10" s="4"/>
      <c r="J10" s="7"/>
    </row>
    <row r="11" spans="1:10">
      <c r="A11" s="4">
        <v>8</v>
      </c>
      <c r="B11" s="3" t="s">
        <v>55</v>
      </c>
      <c r="C11" s="4" t="s">
        <v>18</v>
      </c>
      <c r="D11" s="5">
        <v>46258</v>
      </c>
      <c r="E11" s="5">
        <v>46261</v>
      </c>
      <c r="F11" s="6">
        <f t="shared" si="0"/>
        <v>4</v>
      </c>
      <c r="G11" s="4" t="str">
        <f t="shared" si="1"/>
        <v>否</v>
      </c>
      <c r="H11" s="3" t="s">
        <v>52</v>
      </c>
      <c r="I11" s="4"/>
      <c r="J11" s="7"/>
    </row>
    <row r="12" spans="1:10">
      <c r="A12" s="4">
        <v>9</v>
      </c>
      <c r="B12" s="3"/>
      <c r="C12" s="4"/>
      <c r="D12" s="5"/>
      <c r="E12" s="5"/>
      <c r="F12" s="6" t="str">
        <f t="shared" si="0"/>
        <v/>
      </c>
      <c r="G12" s="4" t="str">
        <f t="shared" si="1"/>
        <v/>
      </c>
      <c r="H12" s="3"/>
      <c r="I12" s="4"/>
      <c r="J12" s="7"/>
    </row>
    <row r="13" spans="1:10">
      <c r="A13" s="4">
        <v>10</v>
      </c>
      <c r="B13" s="3"/>
      <c r="C13" s="4"/>
      <c r="D13" s="5"/>
      <c r="E13" s="5"/>
      <c r="F13" s="6" t="str">
        <f t="shared" si="0"/>
        <v/>
      </c>
      <c r="G13" s="4" t="str">
        <f t="shared" si="1"/>
        <v/>
      </c>
      <c r="H13" s="3"/>
      <c r="I13" s="4"/>
      <c r="J13" s="7"/>
    </row>
    <row r="14" spans="1:10">
      <c r="A14" s="4">
        <v>11</v>
      </c>
      <c r="B14" s="3"/>
      <c r="C14" s="4"/>
      <c r="D14" s="5"/>
      <c r="E14" s="5"/>
      <c r="F14" s="6" t="str">
        <f t="shared" si="0"/>
        <v/>
      </c>
      <c r="G14" s="4" t="str">
        <f t="shared" si="1"/>
        <v/>
      </c>
      <c r="H14" s="3"/>
      <c r="I14" s="4"/>
      <c r="J14" s="7"/>
    </row>
    <row r="15" spans="1:10">
      <c r="A15" s="4">
        <v>12</v>
      </c>
      <c r="B15" s="3"/>
      <c r="C15" s="4"/>
      <c r="D15" s="5"/>
      <c r="E15" s="5"/>
      <c r="F15" s="6" t="str">
        <f t="shared" si="0"/>
        <v/>
      </c>
      <c r="G15" s="4" t="str">
        <f t="shared" si="1"/>
        <v/>
      </c>
      <c r="H15" s="3"/>
      <c r="I15" s="4"/>
      <c r="J15" s="7"/>
    </row>
    <row r="16" spans="1:10">
      <c r="A16" s="4">
        <v>13</v>
      </c>
      <c r="B16" s="3"/>
      <c r="C16" s="4"/>
      <c r="D16" s="5"/>
      <c r="E16" s="5"/>
      <c r="F16" s="6" t="str">
        <f t="shared" si="0"/>
        <v/>
      </c>
      <c r="G16" s="4" t="str">
        <f t="shared" si="1"/>
        <v/>
      </c>
      <c r="H16" s="3"/>
      <c r="I16" s="4"/>
      <c r="J16" s="7"/>
    </row>
    <row r="17" spans="1:10">
      <c r="A17" s="4">
        <v>14</v>
      </c>
      <c r="B17" s="3"/>
      <c r="C17" s="4"/>
      <c r="D17" s="5"/>
      <c r="E17" s="5"/>
      <c r="F17" s="6" t="str">
        <f t="shared" si="0"/>
        <v/>
      </c>
      <c r="G17" s="4" t="str">
        <f t="shared" si="1"/>
        <v/>
      </c>
      <c r="H17" s="3"/>
      <c r="I17" s="4"/>
      <c r="J17" s="7"/>
    </row>
    <row r="18" spans="1:10">
      <c r="A18" s="4">
        <v>15</v>
      </c>
      <c r="B18" s="3"/>
      <c r="C18" s="4"/>
      <c r="D18" s="5"/>
      <c r="E18" s="5"/>
      <c r="F18" s="6" t="str">
        <f t="shared" si="0"/>
        <v/>
      </c>
      <c r="G18" s="4" t="str">
        <f t="shared" si="1"/>
        <v/>
      </c>
      <c r="H18" s="3"/>
      <c r="I18" s="4"/>
      <c r="J18" s="7"/>
    </row>
    <row r="19" spans="1:10">
      <c r="A19" s="4">
        <v>16</v>
      </c>
      <c r="B19" s="3"/>
      <c r="C19" s="4"/>
      <c r="D19" s="5"/>
      <c r="E19" s="5"/>
      <c r="F19" s="6" t="str">
        <f t="shared" si="0"/>
        <v/>
      </c>
      <c r="G19" s="4" t="str">
        <f t="shared" si="1"/>
        <v/>
      </c>
      <c r="H19" s="3"/>
      <c r="I19" s="4"/>
      <c r="J19" s="7"/>
    </row>
    <row r="20" spans="1:10">
      <c r="A20" s="4">
        <v>17</v>
      </c>
      <c r="B20" s="3"/>
      <c r="C20" s="4"/>
      <c r="D20" s="5"/>
      <c r="E20" s="5"/>
      <c r="F20" s="6" t="str">
        <f t="shared" si="0"/>
        <v/>
      </c>
      <c r="G20" s="4" t="str">
        <f t="shared" si="1"/>
        <v/>
      </c>
      <c r="H20" s="3"/>
      <c r="I20" s="4"/>
      <c r="J20" s="7"/>
    </row>
    <row r="21" spans="1:10">
      <c r="A21" s="4">
        <v>18</v>
      </c>
      <c r="B21" s="3"/>
      <c r="C21" s="4"/>
      <c r="D21" s="5"/>
      <c r="E21" s="5"/>
      <c r="F21" s="6" t="str">
        <f t="shared" si="0"/>
        <v/>
      </c>
      <c r="G21" s="4" t="str">
        <f t="shared" si="1"/>
        <v/>
      </c>
      <c r="H21" s="3"/>
      <c r="I21" s="4"/>
      <c r="J21" s="7"/>
    </row>
    <row r="22" spans="1:10">
      <c r="A22" s="4">
        <v>19</v>
      </c>
      <c r="B22" s="3"/>
      <c r="C22" s="4"/>
      <c r="D22" s="5"/>
      <c r="E22" s="5"/>
      <c r="F22" s="6" t="str">
        <f t="shared" si="0"/>
        <v/>
      </c>
      <c r="G22" s="4" t="str">
        <f t="shared" si="1"/>
        <v/>
      </c>
      <c r="H22" s="3"/>
      <c r="I22" s="4"/>
      <c r="J22" s="7"/>
    </row>
    <row r="23" spans="1:10">
      <c r="A23" s="4">
        <v>20</v>
      </c>
      <c r="B23" s="3"/>
      <c r="C23" s="4"/>
      <c r="D23" s="5"/>
      <c r="E23" s="5"/>
      <c r="F23" s="6" t="str">
        <f t="shared" si="0"/>
        <v/>
      </c>
      <c r="G23" s="4" t="str">
        <f t="shared" si="1"/>
        <v/>
      </c>
      <c r="H23" s="3"/>
      <c r="I23" s="4"/>
      <c r="J23" s="7"/>
    </row>
    <row r="24" spans="1:10">
      <c r="A24" s="4">
        <v>21</v>
      </c>
      <c r="B24" s="3"/>
      <c r="C24" s="4"/>
      <c r="D24" s="5"/>
      <c r="E24" s="5"/>
      <c r="F24" s="6" t="str">
        <f t="shared" si="0"/>
        <v/>
      </c>
      <c r="G24" s="4" t="str">
        <f t="shared" si="1"/>
        <v/>
      </c>
      <c r="H24" s="3"/>
      <c r="I24" s="4"/>
      <c r="J24" s="7"/>
    </row>
    <row r="25" spans="1:10">
      <c r="A25" s="4">
        <v>22</v>
      </c>
      <c r="B25" s="3"/>
      <c r="C25" s="4"/>
      <c r="D25" s="5"/>
      <c r="E25" s="5"/>
      <c r="F25" s="6" t="str">
        <f t="shared" si="0"/>
        <v/>
      </c>
      <c r="G25" s="4" t="str">
        <f t="shared" si="1"/>
        <v/>
      </c>
      <c r="H25" s="3"/>
      <c r="I25" s="4"/>
      <c r="J25" s="7"/>
    </row>
    <row r="26" spans="1:10">
      <c r="A26" s="4">
        <v>23</v>
      </c>
      <c r="B26" s="3"/>
      <c r="C26" s="4"/>
      <c r="D26" s="5"/>
      <c r="E26" s="5"/>
      <c r="F26" s="6" t="str">
        <f t="shared" si="0"/>
        <v/>
      </c>
      <c r="G26" s="4" t="str">
        <f t="shared" si="1"/>
        <v/>
      </c>
      <c r="H26" s="3"/>
      <c r="I26" s="4"/>
      <c r="J26" s="7"/>
    </row>
    <row r="27" spans="1:10">
      <c r="A27" s="4">
        <v>24</v>
      </c>
      <c r="B27" s="3"/>
      <c r="C27" s="4"/>
      <c r="D27" s="5"/>
      <c r="E27" s="5"/>
      <c r="F27" s="6" t="str">
        <f t="shared" si="0"/>
        <v/>
      </c>
      <c r="G27" s="4" t="str">
        <f t="shared" si="1"/>
        <v/>
      </c>
      <c r="H27" s="3"/>
      <c r="I27" s="4"/>
      <c r="J27" s="7"/>
    </row>
    <row r="28" spans="1:10">
      <c r="A28" s="4">
        <v>25</v>
      </c>
      <c r="B28" s="3"/>
      <c r="C28" s="4"/>
      <c r="D28" s="5"/>
      <c r="E28" s="5"/>
      <c r="F28" s="6" t="str">
        <f t="shared" si="0"/>
        <v/>
      </c>
      <c r="G28" s="4" t="str">
        <f t="shared" si="1"/>
        <v/>
      </c>
      <c r="H28" s="3"/>
      <c r="I28" s="4"/>
      <c r="J28" s="7"/>
    </row>
    <row r="29" spans="1:10">
      <c r="A29" s="4">
        <v>26</v>
      </c>
      <c r="B29" s="3"/>
      <c r="C29" s="4"/>
      <c r="D29" s="5"/>
      <c r="E29" s="5"/>
      <c r="F29" s="6" t="str">
        <f t="shared" si="0"/>
        <v/>
      </c>
      <c r="G29" s="4" t="str">
        <f t="shared" si="1"/>
        <v/>
      </c>
      <c r="H29" s="3"/>
      <c r="I29" s="4"/>
      <c r="J29" s="7"/>
    </row>
    <row r="30" spans="1:10">
      <c r="A30" s="4">
        <v>27</v>
      </c>
      <c r="B30" s="3"/>
      <c r="C30" s="4"/>
      <c r="D30" s="5"/>
      <c r="E30" s="5"/>
      <c r="F30" s="6" t="str">
        <f t="shared" si="0"/>
        <v/>
      </c>
      <c r="G30" s="4" t="str">
        <f t="shared" si="1"/>
        <v/>
      </c>
      <c r="H30" s="3"/>
      <c r="I30" s="4"/>
      <c r="J30" s="7"/>
    </row>
    <row r="31" spans="1:10">
      <c r="A31" s="4">
        <v>28</v>
      </c>
      <c r="B31" s="3"/>
      <c r="C31" s="4"/>
      <c r="D31" s="5"/>
      <c r="E31" s="5"/>
      <c r="F31" s="6" t="str">
        <f t="shared" si="0"/>
        <v/>
      </c>
      <c r="G31" s="4" t="str">
        <f t="shared" si="1"/>
        <v/>
      </c>
      <c r="H31" s="3"/>
      <c r="I31" s="4"/>
      <c r="J31" s="7"/>
    </row>
    <row r="32" spans="1:10">
      <c r="A32" s="4">
        <v>29</v>
      </c>
      <c r="B32" s="3"/>
      <c r="C32" s="4"/>
      <c r="D32" s="5"/>
      <c r="E32" s="5"/>
      <c r="F32" s="6" t="str">
        <f t="shared" si="0"/>
        <v/>
      </c>
      <c r="G32" s="4" t="str">
        <f t="shared" si="1"/>
        <v/>
      </c>
      <c r="H32" s="3"/>
      <c r="I32" s="4"/>
      <c r="J32" s="7"/>
    </row>
    <row r="33" spans="1:10">
      <c r="A33" s="4">
        <v>30</v>
      </c>
      <c r="B33" s="3"/>
      <c r="C33" s="4"/>
      <c r="D33" s="5"/>
      <c r="E33" s="5"/>
      <c r="F33" s="6" t="str">
        <f t="shared" si="0"/>
        <v/>
      </c>
      <c r="G33" s="4" t="str">
        <f t="shared" si="1"/>
        <v/>
      </c>
      <c r="H33" s="3"/>
      <c r="I33" s="4"/>
      <c r="J33" s="7"/>
    </row>
    <row r="34" spans="1:10">
      <c r="A34" s="4">
        <v>31</v>
      </c>
      <c r="B34" s="3"/>
      <c r="C34" s="4"/>
      <c r="D34" s="5"/>
      <c r="E34" s="5"/>
      <c r="F34" s="6" t="str">
        <f t="shared" si="0"/>
        <v/>
      </c>
      <c r="G34" s="4" t="str">
        <f t="shared" si="1"/>
        <v/>
      </c>
      <c r="H34" s="3"/>
      <c r="I34" s="4"/>
      <c r="J34" s="7"/>
    </row>
    <row r="35" spans="1:10">
      <c r="A35" s="4">
        <v>32</v>
      </c>
      <c r="B35" s="3"/>
      <c r="C35" s="4"/>
      <c r="D35" s="5"/>
      <c r="E35" s="5"/>
      <c r="F35" s="6" t="str">
        <f t="shared" si="0"/>
        <v/>
      </c>
      <c r="G35" s="4" t="str">
        <f t="shared" si="1"/>
        <v/>
      </c>
      <c r="H35" s="3"/>
      <c r="I35" s="4"/>
      <c r="J35" s="7"/>
    </row>
    <row r="36" spans="1:10">
      <c r="A36" s="4">
        <v>33</v>
      </c>
      <c r="B36" s="3"/>
      <c r="C36" s="4"/>
      <c r="D36" s="5"/>
      <c r="E36" s="5"/>
      <c r="F36" s="6" t="str">
        <f t="shared" ref="F36:F67" si="2">IF(OR(D36="",E36=""),"",E36-D36+1)</f>
        <v/>
      </c>
      <c r="G36" s="4" t="str">
        <f t="shared" ref="G36:G67" si="3">IF(OR(D36="",E36=""),"",IF(WEEKNUM(D36)&lt;&gt;WEEKNUM(E36),"是","否"))</f>
        <v/>
      </c>
      <c r="H36" s="3"/>
      <c r="I36" s="4"/>
      <c r="J36" s="7"/>
    </row>
    <row r="37" spans="1:10">
      <c r="A37" s="4">
        <v>34</v>
      </c>
      <c r="B37" s="3"/>
      <c r="C37" s="4"/>
      <c r="D37" s="5"/>
      <c r="E37" s="5"/>
      <c r="F37" s="6" t="str">
        <f t="shared" si="2"/>
        <v/>
      </c>
      <c r="G37" s="4" t="str">
        <f t="shared" si="3"/>
        <v/>
      </c>
      <c r="H37" s="3"/>
      <c r="I37" s="4"/>
      <c r="J37" s="7"/>
    </row>
    <row r="38" spans="1:10">
      <c r="A38" s="4">
        <v>35</v>
      </c>
      <c r="B38" s="3"/>
      <c r="C38" s="4"/>
      <c r="D38" s="5"/>
      <c r="E38" s="5"/>
      <c r="F38" s="6" t="str">
        <f t="shared" si="2"/>
        <v/>
      </c>
      <c r="G38" s="4" t="str">
        <f t="shared" si="3"/>
        <v/>
      </c>
      <c r="H38" s="3"/>
      <c r="I38" s="4"/>
      <c r="J38" s="7"/>
    </row>
    <row r="39" spans="1:10">
      <c r="A39" s="4">
        <v>36</v>
      </c>
      <c r="B39" s="3"/>
      <c r="C39" s="4"/>
      <c r="D39" s="5"/>
      <c r="E39" s="5"/>
      <c r="F39" s="6" t="str">
        <f t="shared" si="2"/>
        <v/>
      </c>
      <c r="G39" s="4" t="str">
        <f t="shared" si="3"/>
        <v/>
      </c>
      <c r="H39" s="3"/>
      <c r="I39" s="4"/>
      <c r="J39" s="7"/>
    </row>
    <row r="40" spans="1:10">
      <c r="A40" s="4">
        <v>37</v>
      </c>
      <c r="B40" s="3"/>
      <c r="C40" s="4"/>
      <c r="D40" s="5"/>
      <c r="E40" s="5"/>
      <c r="F40" s="6" t="str">
        <f t="shared" si="2"/>
        <v/>
      </c>
      <c r="G40" s="4" t="str">
        <f t="shared" si="3"/>
        <v/>
      </c>
      <c r="H40" s="3"/>
      <c r="I40" s="4"/>
      <c r="J40" s="7"/>
    </row>
    <row r="41" spans="1:10">
      <c r="A41" s="4">
        <v>38</v>
      </c>
      <c r="B41" s="3"/>
      <c r="C41" s="4"/>
      <c r="D41" s="5"/>
      <c r="E41" s="5"/>
      <c r="F41" s="6" t="str">
        <f t="shared" si="2"/>
        <v/>
      </c>
      <c r="G41" s="4" t="str">
        <f t="shared" si="3"/>
        <v/>
      </c>
      <c r="H41" s="3"/>
      <c r="I41" s="4"/>
      <c r="J41" s="7"/>
    </row>
    <row r="42" spans="1:10">
      <c r="A42" s="4">
        <v>39</v>
      </c>
      <c r="B42" s="3"/>
      <c r="C42" s="4"/>
      <c r="D42" s="5"/>
      <c r="E42" s="5"/>
      <c r="F42" s="6" t="str">
        <f t="shared" si="2"/>
        <v/>
      </c>
      <c r="G42" s="4" t="str">
        <f t="shared" si="3"/>
        <v/>
      </c>
      <c r="H42" s="3"/>
      <c r="I42" s="4"/>
      <c r="J42" s="7"/>
    </row>
    <row r="43" spans="1:10">
      <c r="A43" s="4">
        <v>40</v>
      </c>
      <c r="B43" s="3"/>
      <c r="C43" s="4"/>
      <c r="D43" s="5"/>
      <c r="E43" s="5"/>
      <c r="F43" s="6" t="str">
        <f t="shared" si="2"/>
        <v/>
      </c>
      <c r="G43" s="4" t="str">
        <f t="shared" si="3"/>
        <v/>
      </c>
      <c r="H43" s="3"/>
      <c r="I43" s="4"/>
      <c r="J43" s="7"/>
    </row>
    <row r="44" spans="1:10">
      <c r="A44" s="4">
        <v>41</v>
      </c>
      <c r="B44" s="3"/>
      <c r="C44" s="4"/>
      <c r="D44" s="5"/>
      <c r="E44" s="5"/>
      <c r="F44" s="6" t="str">
        <f t="shared" si="2"/>
        <v/>
      </c>
      <c r="G44" s="4" t="str">
        <f t="shared" si="3"/>
        <v/>
      </c>
      <c r="H44" s="3"/>
      <c r="I44" s="4"/>
      <c r="J44" s="7"/>
    </row>
    <row r="45" spans="1:10">
      <c r="A45" s="4">
        <v>42</v>
      </c>
      <c r="B45" s="3"/>
      <c r="C45" s="4"/>
      <c r="D45" s="5"/>
      <c r="E45" s="5"/>
      <c r="F45" s="6" t="str">
        <f t="shared" si="2"/>
        <v/>
      </c>
      <c r="G45" s="4" t="str">
        <f t="shared" si="3"/>
        <v/>
      </c>
      <c r="H45" s="3"/>
      <c r="I45" s="4"/>
      <c r="J45" s="7"/>
    </row>
    <row r="46" spans="1:10">
      <c r="A46" s="4">
        <v>43</v>
      </c>
      <c r="B46" s="3"/>
      <c r="C46" s="4"/>
      <c r="D46" s="5"/>
      <c r="E46" s="5"/>
      <c r="F46" s="6" t="str">
        <f t="shared" si="2"/>
        <v/>
      </c>
      <c r="G46" s="4" t="str">
        <f t="shared" si="3"/>
        <v/>
      </c>
      <c r="H46" s="3"/>
      <c r="I46" s="4"/>
      <c r="J46" s="7"/>
    </row>
    <row r="47" spans="1:10">
      <c r="A47" s="4">
        <v>44</v>
      </c>
      <c r="B47" s="3"/>
      <c r="C47" s="4"/>
      <c r="D47" s="5"/>
      <c r="E47" s="5"/>
      <c r="F47" s="6" t="str">
        <f t="shared" si="2"/>
        <v/>
      </c>
      <c r="G47" s="4" t="str">
        <f t="shared" si="3"/>
        <v/>
      </c>
      <c r="H47" s="3"/>
      <c r="I47" s="4"/>
      <c r="J47" s="7"/>
    </row>
    <row r="48" spans="1:10">
      <c r="A48" s="4">
        <v>45</v>
      </c>
      <c r="B48" s="3"/>
      <c r="C48" s="4"/>
      <c r="D48" s="5"/>
      <c r="E48" s="5"/>
      <c r="F48" s="6" t="str">
        <f t="shared" si="2"/>
        <v/>
      </c>
      <c r="G48" s="4" t="str">
        <f t="shared" si="3"/>
        <v/>
      </c>
      <c r="H48" s="3"/>
      <c r="I48" s="4"/>
      <c r="J48" s="7"/>
    </row>
    <row r="49" spans="1:10">
      <c r="A49" s="4">
        <v>46</v>
      </c>
      <c r="B49" s="3"/>
      <c r="C49" s="4"/>
      <c r="D49" s="5"/>
      <c r="E49" s="5"/>
      <c r="F49" s="6" t="str">
        <f t="shared" si="2"/>
        <v/>
      </c>
      <c r="G49" s="4" t="str">
        <f t="shared" si="3"/>
        <v/>
      </c>
      <c r="H49" s="3"/>
      <c r="I49" s="4"/>
      <c r="J49" s="7"/>
    </row>
    <row r="50" spans="1:10">
      <c r="A50" s="4">
        <v>47</v>
      </c>
      <c r="B50" s="3"/>
      <c r="C50" s="4"/>
      <c r="D50" s="5"/>
      <c r="E50" s="5"/>
      <c r="F50" s="6" t="str">
        <f t="shared" si="2"/>
        <v/>
      </c>
      <c r="G50" s="4" t="str">
        <f t="shared" si="3"/>
        <v/>
      </c>
      <c r="H50" s="3"/>
      <c r="I50" s="4"/>
      <c r="J50" s="7"/>
    </row>
    <row r="51" spans="1:10">
      <c r="A51" s="4">
        <v>48</v>
      </c>
      <c r="B51" s="3"/>
      <c r="C51" s="4"/>
      <c r="D51" s="5"/>
      <c r="E51" s="5"/>
      <c r="F51" s="6" t="str">
        <f t="shared" si="2"/>
        <v/>
      </c>
      <c r="G51" s="4" t="str">
        <f t="shared" si="3"/>
        <v/>
      </c>
      <c r="H51" s="3"/>
      <c r="I51" s="4"/>
      <c r="J51" s="7"/>
    </row>
    <row r="52" spans="1:10">
      <c r="A52" s="4">
        <v>49</v>
      </c>
      <c r="B52" s="3"/>
      <c r="C52" s="4"/>
      <c r="D52" s="5"/>
      <c r="E52" s="5"/>
      <c r="F52" s="6" t="str">
        <f t="shared" si="2"/>
        <v/>
      </c>
      <c r="G52" s="4" t="str">
        <f t="shared" si="3"/>
        <v/>
      </c>
      <c r="H52" s="3"/>
      <c r="I52" s="4"/>
      <c r="J52" s="7"/>
    </row>
    <row r="53" spans="1:10">
      <c r="A53" s="4">
        <v>50</v>
      </c>
      <c r="B53" s="3"/>
      <c r="C53" s="4"/>
      <c r="D53" s="5"/>
      <c r="E53" s="5"/>
      <c r="F53" s="6" t="str">
        <f t="shared" si="2"/>
        <v/>
      </c>
      <c r="G53" s="4" t="str">
        <f t="shared" si="3"/>
        <v/>
      </c>
      <c r="H53" s="3"/>
      <c r="I53" s="4"/>
      <c r="J53" s="7"/>
    </row>
    <row r="54" spans="1:10">
      <c r="A54" s="4">
        <v>51</v>
      </c>
      <c r="B54" s="3"/>
      <c r="C54" s="4"/>
      <c r="D54" s="5"/>
      <c r="E54" s="5"/>
      <c r="F54" s="6" t="str">
        <f t="shared" si="2"/>
        <v/>
      </c>
      <c r="G54" s="4" t="str">
        <f t="shared" si="3"/>
        <v/>
      </c>
      <c r="H54" s="3"/>
      <c r="I54" s="4"/>
      <c r="J54" s="7"/>
    </row>
    <row r="55" spans="1:10">
      <c r="A55" s="4">
        <v>52</v>
      </c>
      <c r="B55" s="3"/>
      <c r="C55" s="4"/>
      <c r="D55" s="5"/>
      <c r="E55" s="5"/>
      <c r="F55" s="6" t="str">
        <f t="shared" si="2"/>
        <v/>
      </c>
      <c r="G55" s="4" t="str">
        <f t="shared" si="3"/>
        <v/>
      </c>
      <c r="H55" s="3"/>
      <c r="I55" s="4"/>
      <c r="J55" s="7"/>
    </row>
    <row r="56" spans="1:10">
      <c r="A56" s="4">
        <v>53</v>
      </c>
      <c r="B56" s="3"/>
      <c r="C56" s="4"/>
      <c r="D56" s="5"/>
      <c r="E56" s="5"/>
      <c r="F56" s="6" t="str">
        <f t="shared" si="2"/>
        <v/>
      </c>
      <c r="G56" s="4" t="str">
        <f t="shared" si="3"/>
        <v/>
      </c>
      <c r="H56" s="3"/>
      <c r="I56" s="4"/>
      <c r="J56" s="7"/>
    </row>
    <row r="57" spans="1:10">
      <c r="A57" s="4">
        <v>54</v>
      </c>
      <c r="B57" s="3"/>
      <c r="C57" s="4"/>
      <c r="D57" s="5"/>
      <c r="E57" s="5"/>
      <c r="F57" s="6" t="str">
        <f t="shared" si="2"/>
        <v/>
      </c>
      <c r="G57" s="4" t="str">
        <f t="shared" si="3"/>
        <v/>
      </c>
      <c r="H57" s="3"/>
      <c r="I57" s="4"/>
      <c r="J57" s="7"/>
    </row>
    <row r="58" spans="1:10">
      <c r="A58" s="4">
        <v>55</v>
      </c>
      <c r="B58" s="3"/>
      <c r="C58" s="4"/>
      <c r="D58" s="5"/>
      <c r="E58" s="5"/>
      <c r="F58" s="6" t="str">
        <f t="shared" si="2"/>
        <v/>
      </c>
      <c r="G58" s="4" t="str">
        <f t="shared" si="3"/>
        <v/>
      </c>
      <c r="H58" s="3"/>
      <c r="I58" s="4"/>
      <c r="J58" s="7"/>
    </row>
    <row r="59" spans="1:10">
      <c r="A59" s="4">
        <v>56</v>
      </c>
      <c r="B59" s="3"/>
      <c r="C59" s="4"/>
      <c r="D59" s="5"/>
      <c r="E59" s="5"/>
      <c r="F59" s="6" t="str">
        <f t="shared" si="2"/>
        <v/>
      </c>
      <c r="G59" s="4" t="str">
        <f t="shared" si="3"/>
        <v/>
      </c>
      <c r="H59" s="3"/>
      <c r="I59" s="4"/>
      <c r="J59" s="7"/>
    </row>
    <row r="60" spans="1:10">
      <c r="A60" s="4">
        <v>57</v>
      </c>
      <c r="B60" s="3"/>
      <c r="C60" s="4"/>
      <c r="D60" s="5"/>
      <c r="E60" s="5"/>
      <c r="F60" s="6" t="str">
        <f t="shared" si="2"/>
        <v/>
      </c>
      <c r="G60" s="4" t="str">
        <f t="shared" si="3"/>
        <v/>
      </c>
      <c r="H60" s="3"/>
      <c r="I60" s="4"/>
      <c r="J60" s="7"/>
    </row>
    <row r="61" spans="1:10">
      <c r="A61" s="4">
        <v>58</v>
      </c>
      <c r="B61" s="3"/>
      <c r="C61" s="4"/>
      <c r="D61" s="5"/>
      <c r="E61" s="5"/>
      <c r="F61" s="6" t="str">
        <f t="shared" si="2"/>
        <v/>
      </c>
      <c r="G61" s="4" t="str">
        <f t="shared" si="3"/>
        <v/>
      </c>
      <c r="H61" s="3"/>
      <c r="I61" s="4"/>
      <c r="J61" s="7"/>
    </row>
    <row r="62" spans="1:10">
      <c r="A62" s="4">
        <v>59</v>
      </c>
      <c r="B62" s="3"/>
      <c r="C62" s="4"/>
      <c r="D62" s="5"/>
      <c r="E62" s="5"/>
      <c r="F62" s="6" t="str">
        <f t="shared" si="2"/>
        <v/>
      </c>
      <c r="G62" s="4" t="str">
        <f t="shared" si="3"/>
        <v/>
      </c>
      <c r="H62" s="3"/>
      <c r="I62" s="4"/>
      <c r="J62" s="7"/>
    </row>
    <row r="63" spans="1:10">
      <c r="A63" s="4">
        <v>60</v>
      </c>
      <c r="B63" s="3"/>
      <c r="C63" s="4"/>
      <c r="D63" s="5"/>
      <c r="E63" s="5"/>
      <c r="F63" s="6" t="str">
        <f t="shared" si="2"/>
        <v/>
      </c>
      <c r="G63" s="4" t="str">
        <f t="shared" si="3"/>
        <v/>
      </c>
      <c r="H63" s="3"/>
      <c r="I63" s="4"/>
      <c r="J63" s="7"/>
    </row>
    <row r="64" spans="1:10">
      <c r="A64" s="4">
        <v>61</v>
      </c>
      <c r="B64" s="3"/>
      <c r="C64" s="4"/>
      <c r="D64" s="5"/>
      <c r="E64" s="5"/>
      <c r="F64" s="6" t="str">
        <f t="shared" si="2"/>
        <v/>
      </c>
      <c r="G64" s="4" t="str">
        <f t="shared" si="3"/>
        <v/>
      </c>
      <c r="H64" s="3"/>
      <c r="I64" s="4"/>
      <c r="J64" s="7"/>
    </row>
    <row r="65" spans="1:10">
      <c r="A65" s="4">
        <v>62</v>
      </c>
      <c r="B65" s="3"/>
      <c r="C65" s="4"/>
      <c r="D65" s="5"/>
      <c r="E65" s="5"/>
      <c r="F65" s="6" t="str">
        <f t="shared" si="2"/>
        <v/>
      </c>
      <c r="G65" s="4" t="str">
        <f t="shared" si="3"/>
        <v/>
      </c>
      <c r="H65" s="3"/>
      <c r="I65" s="4"/>
      <c r="J65" s="7"/>
    </row>
    <row r="66" spans="1:10">
      <c r="A66" s="4">
        <v>63</v>
      </c>
      <c r="B66" s="3"/>
      <c r="C66" s="4"/>
      <c r="D66" s="5"/>
      <c r="E66" s="5"/>
      <c r="F66" s="6" t="str">
        <f t="shared" si="2"/>
        <v/>
      </c>
      <c r="G66" s="4" t="str">
        <f t="shared" si="3"/>
        <v/>
      </c>
      <c r="H66" s="3"/>
      <c r="I66" s="4"/>
      <c r="J66" s="7"/>
    </row>
    <row r="67" spans="1:10">
      <c r="A67" s="4">
        <v>64</v>
      </c>
      <c r="B67" s="3"/>
      <c r="C67" s="4"/>
      <c r="D67" s="5"/>
      <c r="E67" s="5"/>
      <c r="F67" s="6" t="str">
        <f t="shared" si="2"/>
        <v/>
      </c>
      <c r="G67" s="4" t="str">
        <f t="shared" si="3"/>
        <v/>
      </c>
      <c r="H67" s="3"/>
      <c r="I67" s="4"/>
      <c r="J67" s="7"/>
    </row>
    <row r="68" spans="1:10">
      <c r="A68" s="4">
        <v>65</v>
      </c>
      <c r="B68" s="3"/>
      <c r="C68" s="4"/>
      <c r="D68" s="5"/>
      <c r="E68" s="5"/>
      <c r="F68" s="6" t="str">
        <f t="shared" ref="F68:F99" si="4">IF(OR(D68="",E68=""),"",E68-D68+1)</f>
        <v/>
      </c>
      <c r="G68" s="4" t="str">
        <f t="shared" ref="G68:G103" si="5">IF(OR(D68="",E68=""),"",IF(WEEKNUM(D68)&lt;&gt;WEEKNUM(E68),"是","否"))</f>
        <v/>
      </c>
      <c r="H68" s="3"/>
      <c r="I68" s="4"/>
      <c r="J68" s="7"/>
    </row>
    <row r="69" spans="1:10">
      <c r="A69" s="4">
        <v>66</v>
      </c>
      <c r="B69" s="3"/>
      <c r="C69" s="4"/>
      <c r="D69" s="5"/>
      <c r="E69" s="5"/>
      <c r="F69" s="6" t="str">
        <f t="shared" si="4"/>
        <v/>
      </c>
      <c r="G69" s="4" t="str">
        <f t="shared" si="5"/>
        <v/>
      </c>
      <c r="H69" s="3"/>
      <c r="I69" s="4"/>
      <c r="J69" s="7"/>
    </row>
    <row r="70" spans="1:10">
      <c r="A70" s="4">
        <v>67</v>
      </c>
      <c r="B70" s="3"/>
      <c r="C70" s="4"/>
      <c r="D70" s="5"/>
      <c r="E70" s="5"/>
      <c r="F70" s="6" t="str">
        <f t="shared" si="4"/>
        <v/>
      </c>
      <c r="G70" s="4" t="str">
        <f t="shared" si="5"/>
        <v/>
      </c>
      <c r="H70" s="3"/>
      <c r="I70" s="4"/>
      <c r="J70" s="7"/>
    </row>
    <row r="71" spans="1:10">
      <c r="A71" s="4">
        <v>68</v>
      </c>
      <c r="B71" s="3"/>
      <c r="C71" s="4"/>
      <c r="D71" s="5"/>
      <c r="E71" s="5"/>
      <c r="F71" s="6" t="str">
        <f t="shared" si="4"/>
        <v/>
      </c>
      <c r="G71" s="4" t="str">
        <f t="shared" si="5"/>
        <v/>
      </c>
      <c r="H71" s="3"/>
      <c r="I71" s="4"/>
      <c r="J71" s="7"/>
    </row>
    <row r="72" spans="1:10">
      <c r="A72" s="4">
        <v>69</v>
      </c>
      <c r="B72" s="3"/>
      <c r="C72" s="4"/>
      <c r="D72" s="5"/>
      <c r="E72" s="5"/>
      <c r="F72" s="6" t="str">
        <f t="shared" si="4"/>
        <v/>
      </c>
      <c r="G72" s="4" t="str">
        <f t="shared" si="5"/>
        <v/>
      </c>
      <c r="H72" s="3"/>
      <c r="I72" s="4"/>
      <c r="J72" s="7"/>
    </row>
    <row r="73" spans="1:10">
      <c r="A73" s="4">
        <v>70</v>
      </c>
      <c r="B73" s="3"/>
      <c r="C73" s="4"/>
      <c r="D73" s="5"/>
      <c r="E73" s="5"/>
      <c r="F73" s="6" t="str">
        <f t="shared" si="4"/>
        <v/>
      </c>
      <c r="G73" s="4" t="str">
        <f t="shared" si="5"/>
        <v/>
      </c>
      <c r="H73" s="3"/>
      <c r="I73" s="4"/>
      <c r="J73" s="7"/>
    </row>
    <row r="74" spans="1:10">
      <c r="A74" s="4">
        <v>71</v>
      </c>
      <c r="B74" s="3"/>
      <c r="C74" s="4"/>
      <c r="D74" s="5"/>
      <c r="E74" s="5"/>
      <c r="F74" s="6" t="str">
        <f t="shared" si="4"/>
        <v/>
      </c>
      <c r="G74" s="4" t="str">
        <f t="shared" si="5"/>
        <v/>
      </c>
      <c r="H74" s="3"/>
      <c r="I74" s="4"/>
      <c r="J74" s="7"/>
    </row>
    <row r="75" spans="1:10">
      <c r="A75" s="4">
        <v>72</v>
      </c>
      <c r="B75" s="3"/>
      <c r="C75" s="4"/>
      <c r="D75" s="5"/>
      <c r="E75" s="5"/>
      <c r="F75" s="6" t="str">
        <f t="shared" si="4"/>
        <v/>
      </c>
      <c r="G75" s="4" t="str">
        <f t="shared" si="5"/>
        <v/>
      </c>
      <c r="H75" s="3"/>
      <c r="I75" s="4"/>
      <c r="J75" s="7"/>
    </row>
    <row r="76" spans="1:10">
      <c r="A76" s="4">
        <v>73</v>
      </c>
      <c r="B76" s="3"/>
      <c r="C76" s="4"/>
      <c r="D76" s="5"/>
      <c r="E76" s="5"/>
      <c r="F76" s="6" t="str">
        <f t="shared" si="4"/>
        <v/>
      </c>
      <c r="G76" s="4" t="str">
        <f t="shared" si="5"/>
        <v/>
      </c>
      <c r="H76" s="3"/>
      <c r="I76" s="4"/>
      <c r="J76" s="7"/>
    </row>
    <row r="77" spans="1:10">
      <c r="A77" s="4">
        <v>74</v>
      </c>
      <c r="B77" s="3"/>
      <c r="C77" s="4"/>
      <c r="D77" s="5"/>
      <c r="E77" s="5"/>
      <c r="F77" s="6" t="str">
        <f t="shared" si="4"/>
        <v/>
      </c>
      <c r="G77" s="4" t="str">
        <f t="shared" si="5"/>
        <v/>
      </c>
      <c r="H77" s="3"/>
      <c r="I77" s="4"/>
      <c r="J77" s="7"/>
    </row>
    <row r="78" spans="1:10">
      <c r="A78" s="4">
        <v>75</v>
      </c>
      <c r="B78" s="3"/>
      <c r="C78" s="4"/>
      <c r="D78" s="5"/>
      <c r="E78" s="5"/>
      <c r="F78" s="6" t="str">
        <f t="shared" si="4"/>
        <v/>
      </c>
      <c r="G78" s="4" t="str">
        <f t="shared" si="5"/>
        <v/>
      </c>
      <c r="H78" s="3"/>
      <c r="I78" s="4"/>
      <c r="J78" s="7"/>
    </row>
    <row r="79" spans="1:10">
      <c r="A79" s="4">
        <v>76</v>
      </c>
      <c r="B79" s="3"/>
      <c r="C79" s="4"/>
      <c r="D79" s="5"/>
      <c r="E79" s="5"/>
      <c r="F79" s="6" t="str">
        <f t="shared" si="4"/>
        <v/>
      </c>
      <c r="G79" s="4" t="str">
        <f t="shared" si="5"/>
        <v/>
      </c>
      <c r="H79" s="3"/>
      <c r="I79" s="4"/>
      <c r="J79" s="7"/>
    </row>
    <row r="80" spans="1:10">
      <c r="A80" s="4">
        <v>77</v>
      </c>
      <c r="B80" s="3"/>
      <c r="C80" s="4"/>
      <c r="D80" s="5"/>
      <c r="E80" s="5"/>
      <c r="F80" s="6" t="str">
        <f t="shared" si="4"/>
        <v/>
      </c>
      <c r="G80" s="4" t="str">
        <f t="shared" si="5"/>
        <v/>
      </c>
      <c r="H80" s="3"/>
      <c r="I80" s="4"/>
      <c r="J80" s="7"/>
    </row>
    <row r="81" spans="1:10">
      <c r="A81" s="4">
        <v>78</v>
      </c>
      <c r="B81" s="3"/>
      <c r="C81" s="4"/>
      <c r="D81" s="5"/>
      <c r="E81" s="5"/>
      <c r="F81" s="6" t="str">
        <f t="shared" si="4"/>
        <v/>
      </c>
      <c r="G81" s="4" t="str">
        <f t="shared" si="5"/>
        <v/>
      </c>
      <c r="H81" s="3"/>
      <c r="I81" s="4"/>
      <c r="J81" s="7"/>
    </row>
    <row r="82" spans="1:10">
      <c r="A82" s="4">
        <v>79</v>
      </c>
      <c r="B82" s="3"/>
      <c r="C82" s="4"/>
      <c r="D82" s="5"/>
      <c r="E82" s="5"/>
      <c r="F82" s="6" t="str">
        <f t="shared" si="4"/>
        <v/>
      </c>
      <c r="G82" s="4" t="str">
        <f t="shared" si="5"/>
        <v/>
      </c>
      <c r="H82" s="3"/>
      <c r="I82" s="4"/>
      <c r="J82" s="7"/>
    </row>
    <row r="83" spans="1:10">
      <c r="A83" s="4">
        <v>80</v>
      </c>
      <c r="B83" s="3"/>
      <c r="C83" s="4"/>
      <c r="D83" s="5"/>
      <c r="E83" s="5"/>
      <c r="F83" s="6" t="str">
        <f t="shared" si="4"/>
        <v/>
      </c>
      <c r="G83" s="4" t="str">
        <f t="shared" si="5"/>
        <v/>
      </c>
      <c r="H83" s="3"/>
      <c r="I83" s="4"/>
      <c r="J83" s="7"/>
    </row>
    <row r="84" spans="1:10">
      <c r="A84" s="4">
        <v>81</v>
      </c>
      <c r="B84" s="3"/>
      <c r="C84" s="4"/>
      <c r="D84" s="5"/>
      <c r="E84" s="5"/>
      <c r="F84" s="6" t="str">
        <f t="shared" si="4"/>
        <v/>
      </c>
      <c r="G84" s="4" t="str">
        <f t="shared" si="5"/>
        <v/>
      </c>
      <c r="H84" s="3"/>
      <c r="I84" s="4"/>
      <c r="J84" s="7"/>
    </row>
    <row r="85" spans="1:10">
      <c r="A85" s="4">
        <v>82</v>
      </c>
      <c r="B85" s="3"/>
      <c r="C85" s="4"/>
      <c r="D85" s="5"/>
      <c r="E85" s="5"/>
      <c r="F85" s="6" t="str">
        <f t="shared" si="4"/>
        <v/>
      </c>
      <c r="G85" s="4" t="str">
        <f t="shared" si="5"/>
        <v/>
      </c>
      <c r="H85" s="3"/>
      <c r="I85" s="4"/>
      <c r="J85" s="7"/>
    </row>
    <row r="86" spans="1:10">
      <c r="A86" s="4">
        <v>83</v>
      </c>
      <c r="B86" s="3"/>
      <c r="C86" s="4"/>
      <c r="D86" s="5"/>
      <c r="E86" s="5"/>
      <c r="F86" s="6" t="str">
        <f t="shared" si="4"/>
        <v/>
      </c>
      <c r="G86" s="4" t="str">
        <f t="shared" si="5"/>
        <v/>
      </c>
      <c r="H86" s="3"/>
      <c r="I86" s="4"/>
      <c r="J86" s="7"/>
    </row>
    <row r="87" spans="1:10">
      <c r="A87" s="4">
        <v>84</v>
      </c>
      <c r="B87" s="3"/>
      <c r="C87" s="4"/>
      <c r="D87" s="5"/>
      <c r="E87" s="5"/>
      <c r="F87" s="6" t="str">
        <f t="shared" si="4"/>
        <v/>
      </c>
      <c r="G87" s="4" t="str">
        <f t="shared" si="5"/>
        <v/>
      </c>
      <c r="H87" s="3"/>
      <c r="I87" s="4"/>
      <c r="J87" s="7"/>
    </row>
    <row r="88" spans="1:10">
      <c r="A88" s="4">
        <v>85</v>
      </c>
      <c r="B88" s="3"/>
      <c r="C88" s="4"/>
      <c r="D88" s="5"/>
      <c r="E88" s="5"/>
      <c r="F88" s="6" t="str">
        <f t="shared" si="4"/>
        <v/>
      </c>
      <c r="G88" s="4" t="str">
        <f t="shared" si="5"/>
        <v/>
      </c>
      <c r="H88" s="3"/>
      <c r="I88" s="4"/>
      <c r="J88" s="7"/>
    </row>
    <row r="89" spans="1:10">
      <c r="A89" s="4">
        <v>86</v>
      </c>
      <c r="B89" s="3"/>
      <c r="C89" s="4"/>
      <c r="D89" s="5"/>
      <c r="E89" s="5"/>
      <c r="F89" s="6" t="str">
        <f t="shared" si="4"/>
        <v/>
      </c>
      <c r="G89" s="4" t="str">
        <f t="shared" si="5"/>
        <v/>
      </c>
      <c r="H89" s="3"/>
      <c r="I89" s="4"/>
      <c r="J89" s="7"/>
    </row>
    <row r="90" spans="1:10">
      <c r="A90" s="4">
        <v>87</v>
      </c>
      <c r="B90" s="3"/>
      <c r="C90" s="4"/>
      <c r="D90" s="5"/>
      <c r="E90" s="5"/>
      <c r="F90" s="6" t="str">
        <f t="shared" si="4"/>
        <v/>
      </c>
      <c r="G90" s="4" t="str">
        <f t="shared" si="5"/>
        <v/>
      </c>
      <c r="H90" s="3"/>
      <c r="I90" s="4"/>
      <c r="J90" s="7"/>
    </row>
    <row r="91" spans="1:10">
      <c r="A91" s="4">
        <v>88</v>
      </c>
      <c r="B91" s="3"/>
      <c r="C91" s="4"/>
      <c r="D91" s="5"/>
      <c r="E91" s="5"/>
      <c r="F91" s="6" t="str">
        <f t="shared" si="4"/>
        <v/>
      </c>
      <c r="G91" s="4" t="str">
        <f t="shared" si="5"/>
        <v/>
      </c>
      <c r="H91" s="3"/>
      <c r="I91" s="4"/>
      <c r="J91" s="7"/>
    </row>
    <row r="92" spans="1:10">
      <c r="A92" s="4">
        <v>89</v>
      </c>
      <c r="B92" s="3"/>
      <c r="C92" s="4"/>
      <c r="D92" s="5"/>
      <c r="E92" s="5"/>
      <c r="F92" s="6" t="str">
        <f t="shared" si="4"/>
        <v/>
      </c>
      <c r="G92" s="4" t="str">
        <f t="shared" si="5"/>
        <v/>
      </c>
      <c r="H92" s="3"/>
      <c r="I92" s="4"/>
      <c r="J92" s="7"/>
    </row>
    <row r="93" spans="1:10">
      <c r="A93" s="4">
        <v>90</v>
      </c>
      <c r="B93" s="3"/>
      <c r="C93" s="4"/>
      <c r="D93" s="5"/>
      <c r="E93" s="5"/>
      <c r="F93" s="6" t="str">
        <f t="shared" si="4"/>
        <v/>
      </c>
      <c r="G93" s="4" t="str">
        <f t="shared" si="5"/>
        <v/>
      </c>
      <c r="H93" s="3"/>
      <c r="I93" s="4"/>
      <c r="J93" s="7"/>
    </row>
    <row r="94" spans="1:10">
      <c r="A94" s="4">
        <v>91</v>
      </c>
      <c r="B94" s="3"/>
      <c r="C94" s="4"/>
      <c r="D94" s="5"/>
      <c r="E94" s="5"/>
      <c r="F94" s="6" t="str">
        <f t="shared" si="4"/>
        <v/>
      </c>
      <c r="G94" s="4" t="str">
        <f t="shared" si="5"/>
        <v/>
      </c>
      <c r="H94" s="3"/>
      <c r="I94" s="4"/>
      <c r="J94" s="7"/>
    </row>
    <row r="95" spans="1:10">
      <c r="A95" s="4">
        <v>92</v>
      </c>
      <c r="B95" s="3"/>
      <c r="C95" s="4"/>
      <c r="D95" s="5"/>
      <c r="E95" s="5"/>
      <c r="F95" s="6" t="str">
        <f t="shared" si="4"/>
        <v/>
      </c>
      <c r="G95" s="4" t="str">
        <f t="shared" si="5"/>
        <v/>
      </c>
      <c r="H95" s="3"/>
      <c r="I95" s="4"/>
      <c r="J95" s="7"/>
    </row>
    <row r="96" spans="1:10">
      <c r="A96" s="4">
        <v>93</v>
      </c>
      <c r="B96" s="3"/>
      <c r="C96" s="4"/>
      <c r="D96" s="5"/>
      <c r="E96" s="5"/>
      <c r="F96" s="6" t="str">
        <f t="shared" si="4"/>
        <v/>
      </c>
      <c r="G96" s="4" t="str">
        <f t="shared" si="5"/>
        <v/>
      </c>
      <c r="H96" s="3"/>
      <c r="I96" s="4"/>
      <c r="J96" s="7"/>
    </row>
    <row r="97" spans="1:10">
      <c r="A97" s="4">
        <v>94</v>
      </c>
      <c r="B97" s="3"/>
      <c r="C97" s="4"/>
      <c r="D97" s="5"/>
      <c r="E97" s="5"/>
      <c r="F97" s="6" t="str">
        <f t="shared" si="4"/>
        <v/>
      </c>
      <c r="G97" s="4" t="str">
        <f t="shared" si="5"/>
        <v/>
      </c>
      <c r="H97" s="3"/>
      <c r="I97" s="4"/>
      <c r="J97" s="7"/>
    </row>
    <row r="98" spans="1:10">
      <c r="A98" s="4">
        <v>95</v>
      </c>
      <c r="B98" s="3"/>
      <c r="C98" s="4"/>
      <c r="D98" s="5"/>
      <c r="E98" s="5"/>
      <c r="F98" s="6" t="str">
        <f t="shared" si="4"/>
        <v/>
      </c>
      <c r="G98" s="4" t="str">
        <f t="shared" si="5"/>
        <v/>
      </c>
      <c r="H98" s="3"/>
      <c r="I98" s="4"/>
      <c r="J98" s="7"/>
    </row>
    <row r="99" spans="1:10">
      <c r="A99" s="4">
        <v>96</v>
      </c>
      <c r="B99" s="3"/>
      <c r="C99" s="4"/>
      <c r="D99" s="5"/>
      <c r="E99" s="5"/>
      <c r="F99" s="6" t="str">
        <f t="shared" si="4"/>
        <v/>
      </c>
      <c r="G99" s="4" t="str">
        <f t="shared" si="5"/>
        <v/>
      </c>
      <c r="H99" s="3"/>
      <c r="I99" s="4"/>
      <c r="J99" s="7"/>
    </row>
    <row r="100" spans="1:10">
      <c r="A100" s="4">
        <v>97</v>
      </c>
      <c r="B100" s="3"/>
      <c r="C100" s="4"/>
      <c r="D100" s="5"/>
      <c r="E100" s="5"/>
      <c r="F100" s="6" t="str">
        <f t="shared" ref="F100:F103" si="6">IF(OR(D100="",E100=""),"",E100-D100+1)</f>
        <v/>
      </c>
      <c r="G100" s="4" t="str">
        <f t="shared" si="5"/>
        <v/>
      </c>
      <c r="H100" s="3"/>
      <c r="I100" s="4"/>
      <c r="J100" s="7"/>
    </row>
    <row r="101" spans="1:10">
      <c r="A101" s="4">
        <v>98</v>
      </c>
      <c r="B101" s="3"/>
      <c r="C101" s="4"/>
      <c r="D101" s="5"/>
      <c r="E101" s="5"/>
      <c r="F101" s="6" t="str">
        <f t="shared" si="6"/>
        <v/>
      </c>
      <c r="G101" s="4" t="str">
        <f t="shared" si="5"/>
        <v/>
      </c>
      <c r="H101" s="3"/>
      <c r="I101" s="4"/>
      <c r="J101" s="7"/>
    </row>
    <row r="102" spans="1:10">
      <c r="A102" s="4">
        <v>99</v>
      </c>
      <c r="B102" s="3"/>
      <c r="C102" s="4"/>
      <c r="D102" s="5"/>
      <c r="E102" s="5"/>
      <c r="F102" s="6" t="str">
        <f t="shared" si="6"/>
        <v/>
      </c>
      <c r="G102" s="4" t="str">
        <f t="shared" si="5"/>
        <v/>
      </c>
      <c r="H102" s="3"/>
      <c r="I102" s="4"/>
      <c r="J102" s="7"/>
    </row>
    <row r="103" spans="1:10">
      <c r="A103" s="4">
        <v>100</v>
      </c>
      <c r="B103" s="3"/>
      <c r="C103" s="4"/>
      <c r="D103" s="5"/>
      <c r="E103" s="5"/>
      <c r="F103" s="6" t="str">
        <f t="shared" si="6"/>
        <v/>
      </c>
      <c r="G103" s="4" t="str">
        <f t="shared" si="5"/>
        <v/>
      </c>
      <c r="H103" s="3"/>
      <c r="I103" s="4"/>
      <c r="J103" s="7"/>
    </row>
  </sheetData>
  <mergeCells count="1">
    <mergeCell ref="A1:J1"/>
  </mergeCells>
  <phoneticPr fontId="4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清單設定!$A$2:$A$4</xm:f>
          </x14:formula1>
          <xm:sqref>C4:C103</xm:sqref>
        </x14:dataValidation>
        <x14:dataValidation type="list" xr:uid="{00000000-0002-0000-0000-000001000000}">
          <x14:formula1>
            <xm:f>清單設定!$C$2:$C$3</xm:f>
          </x14:formula1>
          <xm:sqref>G4:G103</xm:sqref>
        </x14:dataValidation>
        <x14:dataValidation type="list" xr:uid="{00000000-0002-0000-0000-000002000000}">
          <x14:formula1>
            <xm:f>清單設定!$B$2:$B$4</xm:f>
          </x14:formula1>
          <xm:sqref>I4:I103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5"/>
  <sheetViews>
    <sheetView topLeftCell="A18" workbookViewId="0">
      <selection activeCell="D27" sqref="C27:D29"/>
    </sheetView>
  </sheetViews>
  <sheetFormatPr defaultRowHeight="13.8"/>
  <cols>
    <col min="1" max="1" width="13" customWidth="1"/>
    <col min="2" max="2" width="8" customWidth="1"/>
    <col min="3" max="3" width="38" customWidth="1"/>
    <col min="4" max="4" width="10" customWidth="1"/>
    <col min="5" max="6" width="9" customWidth="1"/>
    <col min="7" max="7" width="10" customWidth="1"/>
  </cols>
  <sheetData>
    <row r="1" spans="1:7" ht="27.9" customHeight="1">
      <c r="A1" s="11" t="s">
        <v>11</v>
      </c>
      <c r="B1" s="12"/>
      <c r="C1" s="12"/>
      <c r="D1" s="12"/>
      <c r="E1" s="12"/>
      <c r="F1" s="12"/>
      <c r="G1" s="12"/>
    </row>
    <row r="3" spans="1:7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>
      <c r="A4" s="5">
        <v>46174</v>
      </c>
      <c r="B4" s="4" t="s">
        <v>19</v>
      </c>
      <c r="C4" s="3"/>
      <c r="D4" s="4">
        <f>COUNTIFS(請假明細!$D$4:$D$103,"&lt;="&amp;A4,請假明細!$E$4:$E$103,"&gt;="&amp;A4)</f>
        <v>0</v>
      </c>
      <c r="E4" s="4">
        <f>COUNTIFS(請假明細!$D$4:$D$103,"&lt;="&amp;A4,請假明細!$E$4:$E$103,"&gt;="&amp;A4,請假明細!$C$4:$C$103,E$3)</f>
        <v>0</v>
      </c>
      <c r="F4" s="4">
        <f>COUNTIFS(請假明細!$D$4:$D$103,"&lt;="&amp;B4,請假明細!$E$4:$E$103,"&gt;="&amp;B4,請假明細!$C$4:$C$103,F$3)</f>
        <v>0</v>
      </c>
      <c r="G4" s="4">
        <f>COUNTIFS(請假明細!$D$4:$D$103,"&lt;="&amp;C4,請假明細!$E$4:$E$103,"&gt;="&amp;C4,請假明細!$C$4:$C$103,G$3)</f>
        <v>0</v>
      </c>
    </row>
    <row r="5" spans="1:7">
      <c r="A5" s="5">
        <v>46175</v>
      </c>
      <c r="B5" s="4" t="s">
        <v>20</v>
      </c>
      <c r="C5" s="3"/>
      <c r="D5" s="4">
        <f>COUNTIFS(請假明細!$D$4:$D$103,"&lt;="&amp;A5,請假明細!$E$4:$E$103,"&gt;="&amp;A5)</f>
        <v>0</v>
      </c>
      <c r="E5" s="4">
        <f>COUNTIFS(請假明細!$D$4:$D$103,"&lt;="&amp;A5,請假明細!$E$4:$E$103,"&gt;="&amp;A5,請假明細!$C$4:$C$103,E$3)</f>
        <v>0</v>
      </c>
      <c r="F5" s="4">
        <f>COUNTIFS(請假明細!$D$4:$D$103,"&lt;="&amp;B5,請假明細!$E$4:$E$103,"&gt;="&amp;B5,請假明細!$C$4:$C$103,F$3)</f>
        <v>0</v>
      </c>
      <c r="G5" s="4">
        <f>COUNTIFS(請假明細!$D$4:$D$103,"&lt;="&amp;C5,請假明細!$E$4:$E$103,"&gt;="&amp;C5,請假明細!$C$4:$C$103,G$3)</f>
        <v>0</v>
      </c>
    </row>
    <row r="6" spans="1:7">
      <c r="A6" s="5">
        <v>46176</v>
      </c>
      <c r="B6" s="4" t="s">
        <v>21</v>
      </c>
      <c r="C6" s="3"/>
      <c r="D6" s="4">
        <f>COUNTIFS(請假明細!$D$4:$D$103,"&lt;="&amp;A6,請假明細!$E$4:$E$103,"&gt;="&amp;A6)</f>
        <v>0</v>
      </c>
      <c r="E6" s="4">
        <f>COUNTIFS(請假明細!$D$4:$D$103,"&lt;="&amp;A6,請假明細!$E$4:$E$103,"&gt;="&amp;A6,請假明細!$C$4:$C$103,E$3)</f>
        <v>0</v>
      </c>
      <c r="F6" s="4">
        <f>COUNTIFS(請假明細!$D$4:$D$103,"&lt;="&amp;B6,請假明細!$E$4:$E$103,"&gt;="&amp;B6,請假明細!$C$4:$C$103,F$3)</f>
        <v>0</v>
      </c>
      <c r="G6" s="4">
        <f>COUNTIFS(請假明細!$D$4:$D$103,"&lt;="&amp;C6,請假明細!$E$4:$E$103,"&gt;="&amp;C6,請假明細!$C$4:$C$103,G$3)</f>
        <v>0</v>
      </c>
    </row>
    <row r="7" spans="1:7">
      <c r="A7" s="5">
        <v>46177</v>
      </c>
      <c r="B7" s="4" t="s">
        <v>22</v>
      </c>
      <c r="C7" s="3"/>
      <c r="D7" s="4">
        <f>COUNTIFS(請假明細!$D$4:$D$103,"&lt;="&amp;A7,請假明細!$E$4:$E$103,"&gt;="&amp;A7)</f>
        <v>0</v>
      </c>
      <c r="E7" s="4">
        <f>COUNTIFS(請假明細!$D$4:$D$103,"&lt;="&amp;A7,請假明細!$E$4:$E$103,"&gt;="&amp;A7,請假明細!$C$4:$C$103,E$3)</f>
        <v>0</v>
      </c>
      <c r="F7" s="4">
        <f>COUNTIFS(請假明細!$D$4:$D$103,"&lt;="&amp;B7,請假明細!$E$4:$E$103,"&gt;="&amp;B7,請假明細!$C$4:$C$103,F$3)</f>
        <v>0</v>
      </c>
      <c r="G7" s="4">
        <f>COUNTIFS(請假明細!$D$4:$D$103,"&lt;="&amp;C7,請假明細!$E$4:$E$103,"&gt;="&amp;C7,請假明細!$C$4:$C$103,G$3)</f>
        <v>0</v>
      </c>
    </row>
    <row r="8" spans="1:7">
      <c r="A8" s="5">
        <v>46178</v>
      </c>
      <c r="B8" s="4" t="s">
        <v>23</v>
      </c>
      <c r="C8" s="3"/>
      <c r="D8" s="4">
        <f>COUNTIFS(請假明細!$D$4:$D$103,"&lt;="&amp;A8,請假明細!$E$4:$E$103,"&gt;="&amp;A8)</f>
        <v>0</v>
      </c>
      <c r="E8" s="4">
        <f>COUNTIFS(請假明細!$D$4:$D$103,"&lt;="&amp;A8,請假明細!$E$4:$E$103,"&gt;="&amp;A8,請假明細!$C$4:$C$103,E$3)</f>
        <v>0</v>
      </c>
      <c r="F8" s="4">
        <f>COUNTIFS(請假明細!$D$4:$D$103,"&lt;="&amp;B8,請假明細!$E$4:$E$103,"&gt;="&amp;B8,請假明細!$C$4:$C$103,F$3)</f>
        <v>0</v>
      </c>
      <c r="G8" s="4">
        <f>COUNTIFS(請假明細!$D$4:$D$103,"&lt;="&amp;C8,請假明細!$E$4:$E$103,"&gt;="&amp;C8,請假明細!$C$4:$C$103,G$3)</f>
        <v>0</v>
      </c>
    </row>
    <row r="9" spans="1:7">
      <c r="A9" s="5">
        <v>46179</v>
      </c>
      <c r="B9" s="4" t="s">
        <v>24</v>
      </c>
      <c r="C9" s="3"/>
      <c r="D9" s="4">
        <f>COUNTIFS(請假明細!$D$4:$D$103,"&lt;="&amp;A9,請假明細!$E$4:$E$103,"&gt;="&amp;A9)</f>
        <v>0</v>
      </c>
      <c r="E9" s="4">
        <f>COUNTIFS(請假明細!$D$4:$D$103,"&lt;="&amp;A9,請假明細!$E$4:$E$103,"&gt;="&amp;A9,請假明細!$C$4:$C$103,E$3)</f>
        <v>0</v>
      </c>
      <c r="F9" s="4">
        <f>COUNTIFS(請假明細!$D$4:$D$103,"&lt;="&amp;B9,請假明細!$E$4:$E$103,"&gt;="&amp;B9,請假明細!$C$4:$C$103,F$3)</f>
        <v>0</v>
      </c>
      <c r="G9" s="4">
        <f>COUNTIFS(請假明細!$D$4:$D$103,"&lt;="&amp;C9,請假明細!$E$4:$E$103,"&gt;="&amp;C9,請假明細!$C$4:$C$103,G$3)</f>
        <v>0</v>
      </c>
    </row>
    <row r="10" spans="1:7">
      <c r="A10" s="5">
        <v>46180</v>
      </c>
      <c r="B10" s="4" t="s">
        <v>25</v>
      </c>
      <c r="C10" s="3"/>
      <c r="D10" s="4">
        <f>COUNTIFS(請假明細!$D$4:$D$103,"&lt;="&amp;A10,請假明細!$E$4:$E$103,"&gt;="&amp;A10)</f>
        <v>0</v>
      </c>
      <c r="E10" s="4">
        <f>COUNTIFS(請假明細!$D$4:$D$103,"&lt;="&amp;A10,請假明細!$E$4:$E$103,"&gt;="&amp;A10,請假明細!$C$4:$C$103,E$3)</f>
        <v>0</v>
      </c>
      <c r="F10" s="4">
        <f>COUNTIFS(請假明細!$D$4:$D$103,"&lt;="&amp;B10,請假明細!$E$4:$E$103,"&gt;="&amp;B10,請假明細!$C$4:$C$103,F$3)</f>
        <v>0</v>
      </c>
      <c r="G10" s="4">
        <f>COUNTIFS(請假明細!$D$4:$D$103,"&lt;="&amp;C10,請假明細!$E$4:$E$103,"&gt;="&amp;C10,請假明細!$C$4:$C$103,G$3)</f>
        <v>0</v>
      </c>
    </row>
    <row r="11" spans="1:7">
      <c r="A11" s="5">
        <v>46181</v>
      </c>
      <c r="B11" s="4" t="s">
        <v>19</v>
      </c>
      <c r="C11" s="3"/>
      <c r="D11" s="4">
        <f>COUNTIFS(請假明細!$D$4:$D$103,"&lt;="&amp;A11,請假明細!$E$4:$E$103,"&gt;="&amp;A11)</f>
        <v>0</v>
      </c>
      <c r="E11" s="4">
        <f>COUNTIFS(請假明細!$D$4:$D$103,"&lt;="&amp;A11,請假明細!$E$4:$E$103,"&gt;="&amp;A11,請假明細!$C$4:$C$103,E$3)</f>
        <v>0</v>
      </c>
      <c r="F11" s="4">
        <f>COUNTIFS(請假明細!$D$4:$D$103,"&lt;="&amp;B11,請假明細!$E$4:$E$103,"&gt;="&amp;B11,請假明細!$C$4:$C$103,F$3)</f>
        <v>0</v>
      </c>
      <c r="G11" s="4">
        <f>COUNTIFS(請假明細!$D$4:$D$103,"&lt;="&amp;C11,請假明細!$E$4:$E$103,"&gt;="&amp;C11,請假明細!$C$4:$C$103,G$3)</f>
        <v>0</v>
      </c>
    </row>
    <row r="12" spans="1:7">
      <c r="A12" s="5">
        <v>46182</v>
      </c>
      <c r="B12" s="4" t="s">
        <v>20</v>
      </c>
      <c r="C12" s="3"/>
      <c r="D12" s="4">
        <f>COUNTIFS(請假明細!$D$4:$D$103,"&lt;="&amp;A12,請假明細!$E$4:$E$103,"&gt;="&amp;A12)</f>
        <v>0</v>
      </c>
      <c r="E12" s="4">
        <f>COUNTIFS(請假明細!$D$4:$D$103,"&lt;="&amp;A12,請假明細!$E$4:$E$103,"&gt;="&amp;A12,請假明細!$C$4:$C$103,E$3)</f>
        <v>0</v>
      </c>
      <c r="F12" s="4">
        <f>COUNTIFS(請假明細!$D$4:$D$103,"&lt;="&amp;B12,請假明細!$E$4:$E$103,"&gt;="&amp;B12,請假明細!$C$4:$C$103,F$3)</f>
        <v>0</v>
      </c>
      <c r="G12" s="4">
        <f>COUNTIFS(請假明細!$D$4:$D$103,"&lt;="&amp;C12,請假明細!$E$4:$E$103,"&gt;="&amp;C12,請假明細!$C$4:$C$103,G$3)</f>
        <v>0</v>
      </c>
    </row>
    <row r="13" spans="1:7">
      <c r="A13" s="5">
        <v>46183</v>
      </c>
      <c r="B13" s="4" t="s">
        <v>21</v>
      </c>
      <c r="C13" s="3"/>
      <c r="D13" s="4">
        <f>COUNTIFS(請假明細!$D$4:$D$103,"&lt;="&amp;A13,請假明細!$E$4:$E$103,"&gt;="&amp;A13)</f>
        <v>0</v>
      </c>
      <c r="E13" s="4">
        <f>COUNTIFS(請假明細!$D$4:$D$103,"&lt;="&amp;A13,請假明細!$E$4:$E$103,"&gt;="&amp;A13,請假明細!$C$4:$C$103,E$3)</f>
        <v>0</v>
      </c>
      <c r="F13" s="4">
        <f>COUNTIFS(請假明細!$D$4:$D$103,"&lt;="&amp;B13,請假明細!$E$4:$E$103,"&gt;="&amp;B13,請假明細!$C$4:$C$103,F$3)</f>
        <v>0</v>
      </c>
      <c r="G13" s="4">
        <f>COUNTIFS(請假明細!$D$4:$D$103,"&lt;="&amp;C13,請假明細!$E$4:$E$103,"&gt;="&amp;C13,請假明細!$C$4:$C$103,G$3)</f>
        <v>0</v>
      </c>
    </row>
    <row r="14" spans="1:7">
      <c r="A14" s="5">
        <v>46184</v>
      </c>
      <c r="B14" s="4" t="s">
        <v>22</v>
      </c>
      <c r="C14" s="3"/>
      <c r="D14" s="4">
        <f>COUNTIFS(請假明細!$D$4:$D$103,"&lt;="&amp;A14,請假明細!$E$4:$E$103,"&gt;="&amp;A14)</f>
        <v>0</v>
      </c>
      <c r="E14" s="4">
        <f>COUNTIFS(請假明細!$D$4:$D$103,"&lt;="&amp;A14,請假明細!$E$4:$E$103,"&gt;="&amp;A14,請假明細!$C$4:$C$103,E$3)</f>
        <v>0</v>
      </c>
      <c r="F14" s="4">
        <f>COUNTIFS(請假明細!$D$4:$D$103,"&lt;="&amp;B14,請假明細!$E$4:$E$103,"&gt;="&amp;B14,請假明細!$C$4:$C$103,F$3)</f>
        <v>0</v>
      </c>
      <c r="G14" s="4">
        <f>COUNTIFS(請假明細!$D$4:$D$103,"&lt;="&amp;C14,請假明細!$E$4:$E$103,"&gt;="&amp;C14,請假明細!$C$4:$C$103,G$3)</f>
        <v>0</v>
      </c>
    </row>
    <row r="15" spans="1:7">
      <c r="A15" s="5">
        <v>46185</v>
      </c>
      <c r="B15" s="4" t="s">
        <v>23</v>
      </c>
      <c r="C15" s="3"/>
      <c r="D15" s="4">
        <f>COUNTIFS(請假明細!$D$4:$D$103,"&lt;="&amp;A15,請假明細!$E$4:$E$103,"&gt;="&amp;A15)</f>
        <v>0</v>
      </c>
      <c r="E15" s="4">
        <f>COUNTIFS(請假明細!$D$4:$D$103,"&lt;="&amp;A15,請假明細!$E$4:$E$103,"&gt;="&amp;A15,請假明細!$C$4:$C$103,E$3)</f>
        <v>0</v>
      </c>
      <c r="F15" s="4">
        <f>COUNTIFS(請假明細!$D$4:$D$103,"&lt;="&amp;B15,請假明細!$E$4:$E$103,"&gt;="&amp;B15,請假明細!$C$4:$C$103,F$3)</f>
        <v>0</v>
      </c>
      <c r="G15" s="4">
        <f>COUNTIFS(請假明細!$D$4:$D$103,"&lt;="&amp;C15,請假明細!$E$4:$E$103,"&gt;="&amp;C15,請假明細!$C$4:$C$103,G$3)</f>
        <v>0</v>
      </c>
    </row>
    <row r="16" spans="1:7">
      <c r="A16" s="5">
        <v>46186</v>
      </c>
      <c r="B16" s="4" t="s">
        <v>24</v>
      </c>
      <c r="C16" s="3"/>
      <c r="D16" s="4">
        <f>COUNTIFS(請假明細!$D$4:$D$103,"&lt;="&amp;A16,請假明細!$E$4:$E$103,"&gt;="&amp;A16)</f>
        <v>0</v>
      </c>
      <c r="E16" s="4">
        <f>COUNTIFS(請假明細!$D$4:$D$103,"&lt;="&amp;A16,請假明細!$E$4:$E$103,"&gt;="&amp;A16,請假明細!$C$4:$C$103,E$3)</f>
        <v>0</v>
      </c>
      <c r="F16" s="4">
        <f>COUNTIFS(請假明細!$D$4:$D$103,"&lt;="&amp;B16,請假明細!$E$4:$E$103,"&gt;="&amp;B16,請假明細!$C$4:$C$103,F$3)</f>
        <v>0</v>
      </c>
      <c r="G16" s="4">
        <f>COUNTIFS(請假明細!$D$4:$D$103,"&lt;="&amp;C16,請假明細!$E$4:$E$103,"&gt;="&amp;C16,請假明細!$C$4:$C$103,G$3)</f>
        <v>0</v>
      </c>
    </row>
    <row r="17" spans="1:7">
      <c r="A17" s="5">
        <v>46187</v>
      </c>
      <c r="B17" s="4" t="s">
        <v>25</v>
      </c>
      <c r="C17" s="3"/>
      <c r="D17" s="4">
        <f>COUNTIFS(請假明細!$D$4:$D$103,"&lt;="&amp;A17,請假明細!$E$4:$E$103,"&gt;="&amp;A17)</f>
        <v>0</v>
      </c>
      <c r="E17" s="4">
        <f>COUNTIFS(請假明細!$D$4:$D$103,"&lt;="&amp;A17,請假明細!$E$4:$E$103,"&gt;="&amp;A17,請假明細!$C$4:$C$103,E$3)</f>
        <v>0</v>
      </c>
      <c r="F17" s="4">
        <f>COUNTIFS(請假明細!$D$4:$D$103,"&lt;="&amp;B17,請假明細!$E$4:$E$103,"&gt;="&amp;B17,請假明細!$C$4:$C$103,F$3)</f>
        <v>0</v>
      </c>
      <c r="G17" s="4">
        <f>COUNTIFS(請假明細!$D$4:$D$103,"&lt;="&amp;C17,請假明細!$E$4:$E$103,"&gt;="&amp;C17,請假明細!$C$4:$C$103,G$3)</f>
        <v>0</v>
      </c>
    </row>
    <row r="18" spans="1:7">
      <c r="A18" s="5">
        <v>46188</v>
      </c>
      <c r="B18" s="4" t="s">
        <v>19</v>
      </c>
      <c r="C18" s="3"/>
      <c r="D18" s="4">
        <f>COUNTIFS(請假明細!$D$4:$D$103,"&lt;="&amp;A18,請假明細!$E$4:$E$103,"&gt;="&amp;A18)</f>
        <v>0</v>
      </c>
      <c r="E18" s="4">
        <f>COUNTIFS(請假明細!$D$4:$D$103,"&lt;="&amp;A18,請假明細!$E$4:$E$103,"&gt;="&amp;A18,請假明細!$C$4:$C$103,E$3)</f>
        <v>0</v>
      </c>
      <c r="F18" s="4">
        <f>COUNTIFS(請假明細!$D$4:$D$103,"&lt;="&amp;B18,請假明細!$E$4:$E$103,"&gt;="&amp;B18,請假明細!$C$4:$C$103,F$3)</f>
        <v>0</v>
      </c>
      <c r="G18" s="4">
        <f>COUNTIFS(請假明細!$D$4:$D$103,"&lt;="&amp;C18,請假明細!$E$4:$E$103,"&gt;="&amp;C18,請假明細!$C$4:$C$103,G$3)</f>
        <v>0</v>
      </c>
    </row>
    <row r="19" spans="1:7">
      <c r="A19" s="5">
        <v>46189</v>
      </c>
      <c r="B19" s="4" t="s">
        <v>20</v>
      </c>
      <c r="C19" s="3"/>
      <c r="D19" s="4">
        <f>COUNTIFS(請假明細!$D$4:$D$103,"&lt;="&amp;A19,請假明細!$E$4:$E$103,"&gt;="&amp;A19)</f>
        <v>0</v>
      </c>
      <c r="E19" s="4">
        <f>COUNTIFS(請假明細!$D$4:$D$103,"&lt;="&amp;A19,請假明細!$E$4:$E$103,"&gt;="&amp;A19,請假明細!$C$4:$C$103,E$3)</f>
        <v>0</v>
      </c>
      <c r="F19" s="4">
        <f>COUNTIFS(請假明細!$D$4:$D$103,"&lt;="&amp;B19,請假明細!$E$4:$E$103,"&gt;="&amp;B19,請假明細!$C$4:$C$103,F$3)</f>
        <v>0</v>
      </c>
      <c r="G19" s="4">
        <f>COUNTIFS(請假明細!$D$4:$D$103,"&lt;="&amp;C19,請假明細!$E$4:$E$103,"&gt;="&amp;C19,請假明細!$C$4:$C$103,G$3)</f>
        <v>0</v>
      </c>
    </row>
    <row r="20" spans="1:7">
      <c r="A20" s="5">
        <v>46190</v>
      </c>
      <c r="B20" s="4" t="s">
        <v>21</v>
      </c>
      <c r="C20" s="3"/>
      <c r="D20" s="4">
        <f>COUNTIFS(請假明細!$D$4:$D$103,"&lt;="&amp;A20,請假明細!$E$4:$E$103,"&gt;="&amp;A20)</f>
        <v>1</v>
      </c>
      <c r="E20" s="4">
        <f>COUNTIFS(請假明細!$D$4:$D$103,"&lt;="&amp;A20,請假明細!$E$4:$E$103,"&gt;="&amp;A20,請假明細!$C$4:$C$103,E$3)</f>
        <v>0</v>
      </c>
      <c r="F20" s="4">
        <f>COUNTIFS(請假明細!$D$4:$D$103,"&lt;="&amp;B20,請假明細!$E$4:$E$103,"&gt;="&amp;B20,請假明細!$C$4:$C$103,F$3)</f>
        <v>0</v>
      </c>
      <c r="G20" s="4">
        <f>COUNTIFS(請假明細!$D$4:$D$103,"&lt;="&amp;C20,請假明細!$E$4:$E$103,"&gt;="&amp;C20,請假明細!$C$4:$C$103,G$3)</f>
        <v>0</v>
      </c>
    </row>
    <row r="21" spans="1:7">
      <c r="A21" s="5">
        <v>46191</v>
      </c>
      <c r="B21" s="4" t="s">
        <v>22</v>
      </c>
      <c r="C21" s="3"/>
      <c r="D21" s="4">
        <f>COUNTIFS(請假明細!$D$4:$D$103,"&lt;="&amp;A21,請假明細!$E$4:$E$103,"&gt;="&amp;A21)</f>
        <v>2</v>
      </c>
      <c r="E21" s="4">
        <f>COUNTIFS(請假明細!$D$4:$D$103,"&lt;="&amp;A21,請假明細!$E$4:$E$103,"&gt;="&amp;A21,請假明細!$C$4:$C$103,E$3)</f>
        <v>0</v>
      </c>
      <c r="F21" s="4">
        <f>COUNTIFS(請假明細!$D$4:$D$103,"&lt;="&amp;B21,請假明細!$E$4:$E$103,"&gt;="&amp;B21,請假明細!$C$4:$C$103,F$3)</f>
        <v>0</v>
      </c>
      <c r="G21" s="4">
        <f>COUNTIFS(請假明細!$D$4:$D$103,"&lt;="&amp;C21,請假明細!$E$4:$E$103,"&gt;="&amp;C21,請假明細!$C$4:$C$103,G$3)</f>
        <v>0</v>
      </c>
    </row>
    <row r="22" spans="1:7">
      <c r="A22" s="5">
        <v>46192</v>
      </c>
      <c r="B22" s="4" t="s">
        <v>23</v>
      </c>
      <c r="C22" s="3"/>
      <c r="D22" s="4">
        <f>COUNTIFS(請假明細!$D$4:$D$103,"&lt;="&amp;A22,請假明細!$E$4:$E$103,"&gt;="&amp;A22)</f>
        <v>0</v>
      </c>
      <c r="E22" s="4">
        <f>COUNTIFS(請假明細!$D$4:$D$103,"&lt;="&amp;A22,請假明細!$E$4:$E$103,"&gt;="&amp;A22,請假明細!$C$4:$C$103,E$3)</f>
        <v>0</v>
      </c>
      <c r="F22" s="4">
        <f>COUNTIFS(請假明細!$D$4:$D$103,"&lt;="&amp;B22,請假明細!$E$4:$E$103,"&gt;="&amp;B22,請假明細!$C$4:$C$103,F$3)</f>
        <v>0</v>
      </c>
      <c r="G22" s="4">
        <f>COUNTIFS(請假明細!$D$4:$D$103,"&lt;="&amp;C22,請假明細!$E$4:$E$103,"&gt;="&amp;C22,請假明細!$C$4:$C$103,G$3)</f>
        <v>0</v>
      </c>
    </row>
    <row r="23" spans="1:7">
      <c r="A23" s="5">
        <v>46193</v>
      </c>
      <c r="B23" s="4" t="s">
        <v>24</v>
      </c>
      <c r="C23" s="3"/>
      <c r="D23" s="4">
        <f>COUNTIFS(請假明細!$D$4:$D$103,"&lt;="&amp;A23,請假明細!$E$4:$E$103,"&gt;="&amp;A23)</f>
        <v>0</v>
      </c>
      <c r="E23" s="4">
        <f>COUNTIFS(請假明細!$D$4:$D$103,"&lt;="&amp;A23,請假明細!$E$4:$E$103,"&gt;="&amp;A23,請假明細!$C$4:$C$103,E$3)</f>
        <v>0</v>
      </c>
      <c r="F23" s="4">
        <f>COUNTIFS(請假明細!$D$4:$D$103,"&lt;="&amp;B23,請假明細!$E$4:$E$103,"&gt;="&amp;B23,請假明細!$C$4:$C$103,F$3)</f>
        <v>0</v>
      </c>
      <c r="G23" s="4">
        <f>COUNTIFS(請假明細!$D$4:$D$103,"&lt;="&amp;C23,請假明細!$E$4:$E$103,"&gt;="&amp;C23,請假明細!$C$4:$C$103,G$3)</f>
        <v>0</v>
      </c>
    </row>
    <row r="24" spans="1:7">
      <c r="A24" s="5">
        <v>46194</v>
      </c>
      <c r="B24" s="4" t="s">
        <v>25</v>
      </c>
      <c r="C24" s="3"/>
      <c r="D24" s="4">
        <f>COUNTIFS(請假明細!$D$4:$D$103,"&lt;="&amp;A24,請假明細!$E$4:$E$103,"&gt;="&amp;A24)</f>
        <v>0</v>
      </c>
      <c r="E24" s="4">
        <f>COUNTIFS(請假明細!$D$4:$D$103,"&lt;="&amp;A24,請假明細!$E$4:$E$103,"&gt;="&amp;A24,請假明細!$C$4:$C$103,E$3)</f>
        <v>0</v>
      </c>
      <c r="F24" s="4">
        <f>COUNTIFS(請假明細!$D$4:$D$103,"&lt;="&amp;B24,請假明細!$E$4:$E$103,"&gt;="&amp;B24,請假明細!$C$4:$C$103,F$3)</f>
        <v>0</v>
      </c>
      <c r="G24" s="4">
        <f>COUNTIFS(請假明細!$D$4:$D$103,"&lt;="&amp;C24,請假明細!$E$4:$E$103,"&gt;="&amp;C24,請假明細!$C$4:$C$103,G$3)</f>
        <v>0</v>
      </c>
    </row>
    <row r="25" spans="1:7">
      <c r="A25" s="5">
        <v>46195</v>
      </c>
      <c r="B25" s="4" t="s">
        <v>19</v>
      </c>
      <c r="C25" s="3"/>
      <c r="D25" s="4">
        <f>COUNTIFS(請假明細!$D$4:$D$103,"&lt;="&amp;A25,請假明細!$E$4:$E$103,"&gt;="&amp;A25)</f>
        <v>1</v>
      </c>
      <c r="E25" s="4">
        <f>COUNTIFS(請假明細!$D$4:$D$103,"&lt;="&amp;A25,請假明細!$E$4:$E$103,"&gt;="&amp;A25,請假明細!$C$4:$C$103,E$3)</f>
        <v>0</v>
      </c>
      <c r="F25" s="4">
        <f>COUNTIFS(請假明細!$D$4:$D$103,"&lt;="&amp;B25,請假明細!$E$4:$E$103,"&gt;="&amp;B25,請假明細!$C$4:$C$103,F$3)</f>
        <v>0</v>
      </c>
      <c r="G25" s="4">
        <f>COUNTIFS(請假明細!$D$4:$D$103,"&lt;="&amp;C25,請假明細!$E$4:$E$103,"&gt;="&amp;C25,請假明細!$C$4:$C$103,G$3)</f>
        <v>0</v>
      </c>
    </row>
    <row r="26" spans="1:7">
      <c r="A26" s="5">
        <v>46196</v>
      </c>
      <c r="B26" s="4" t="s">
        <v>20</v>
      </c>
      <c r="C26" s="3"/>
      <c r="D26" s="4">
        <f>COUNTIFS(請假明細!$D$4:$D$103,"&lt;="&amp;A26,請假明細!$E$4:$E$103,"&gt;="&amp;A26)</f>
        <v>1</v>
      </c>
      <c r="E26" s="4">
        <f>COUNTIFS(請假明細!$D$4:$D$103,"&lt;="&amp;A26,請假明細!$E$4:$E$103,"&gt;="&amp;A26,請假明細!$C$4:$C$103,E$3)</f>
        <v>0</v>
      </c>
      <c r="F26" s="4">
        <f>COUNTIFS(請假明細!$D$4:$D$103,"&lt;="&amp;B26,請假明細!$E$4:$E$103,"&gt;="&amp;B26,請假明細!$C$4:$C$103,F$3)</f>
        <v>0</v>
      </c>
      <c r="G26" s="4">
        <f>COUNTIFS(請假明細!$D$4:$D$103,"&lt;="&amp;C26,請假明細!$E$4:$E$103,"&gt;="&amp;C26,請假明細!$C$4:$C$103,G$3)</f>
        <v>0</v>
      </c>
    </row>
    <row r="27" spans="1:7">
      <c r="A27" s="5">
        <v>46197</v>
      </c>
      <c r="B27" s="4" t="s">
        <v>21</v>
      </c>
      <c r="C27" s="3"/>
      <c r="D27" s="4">
        <f>COUNTIFS(請假明細!$D$4:$D$103,"&lt;="&amp;A27,請假明細!$E$4:$E$103,"&gt;="&amp;A27)</f>
        <v>2</v>
      </c>
      <c r="E27" s="4">
        <f>COUNTIFS(請假明細!$D$4:$D$103,"&lt;="&amp;A27,請假明細!$E$4:$E$103,"&gt;="&amp;A27,請假明細!$C$4:$C$103,E$3)</f>
        <v>0</v>
      </c>
      <c r="F27" s="4">
        <f>COUNTIFS(請假明細!$D$4:$D$103,"&lt;="&amp;B27,請假明細!$E$4:$E$103,"&gt;="&amp;B27,請假明細!$C$4:$C$103,F$3)</f>
        <v>0</v>
      </c>
      <c r="G27" s="4">
        <f>COUNTIFS(請假明細!$D$4:$D$103,"&lt;="&amp;C27,請假明細!$E$4:$E$103,"&gt;="&amp;C27,請假明細!$C$4:$C$103,G$3)</f>
        <v>0</v>
      </c>
    </row>
    <row r="28" spans="1:7">
      <c r="A28" s="5">
        <v>46198</v>
      </c>
      <c r="B28" s="4" t="s">
        <v>22</v>
      </c>
      <c r="C28" s="3"/>
      <c r="D28" s="4">
        <f>COUNTIFS(請假明細!$D$4:$D$103,"&lt;="&amp;A28,請假明細!$E$4:$E$103,"&gt;="&amp;A28)</f>
        <v>2</v>
      </c>
      <c r="E28" s="4">
        <f>COUNTIFS(請假明細!$D$4:$D$103,"&lt;="&amp;A28,請假明細!$E$4:$E$103,"&gt;="&amp;A28,請假明細!$C$4:$C$103,E$3)</f>
        <v>0</v>
      </c>
      <c r="F28" s="4">
        <f>COUNTIFS(請假明細!$D$4:$D$103,"&lt;="&amp;B28,請假明細!$E$4:$E$103,"&gt;="&amp;B28,請假明細!$C$4:$C$103,F$3)</f>
        <v>0</v>
      </c>
      <c r="G28" s="4">
        <f>COUNTIFS(請假明細!$D$4:$D$103,"&lt;="&amp;C28,請假明細!$E$4:$E$103,"&gt;="&amp;C28,請假明細!$C$4:$C$103,G$3)</f>
        <v>0</v>
      </c>
    </row>
    <row r="29" spans="1:7">
      <c r="A29" s="5">
        <v>46199</v>
      </c>
      <c r="B29" s="4" t="s">
        <v>23</v>
      </c>
      <c r="C29" s="3"/>
      <c r="D29" s="4">
        <f>COUNTIFS(請假明細!$D$4:$D$103,"&lt;="&amp;A29,請假明細!$E$4:$E$103,"&gt;="&amp;A29)</f>
        <v>2</v>
      </c>
      <c r="E29" s="4">
        <f>COUNTIFS(請假明細!$D$4:$D$103,"&lt;="&amp;A29,請假明細!$E$4:$E$103,"&gt;="&amp;A29,請假明細!$C$4:$C$103,E$3)</f>
        <v>0</v>
      </c>
      <c r="F29" s="4">
        <f>COUNTIFS(請假明細!$D$4:$D$103,"&lt;="&amp;B29,請假明細!$E$4:$E$103,"&gt;="&amp;B29,請假明細!$C$4:$C$103,F$3)</f>
        <v>0</v>
      </c>
      <c r="G29" s="4">
        <f>COUNTIFS(請假明細!$D$4:$D$103,"&lt;="&amp;C29,請假明細!$E$4:$E$103,"&gt;="&amp;C29,請假明細!$C$4:$C$103,G$3)</f>
        <v>0</v>
      </c>
    </row>
    <row r="30" spans="1:7">
      <c r="A30" s="5">
        <v>46200</v>
      </c>
      <c r="B30" s="4" t="s">
        <v>24</v>
      </c>
      <c r="C30" s="3"/>
      <c r="D30" s="4">
        <f>COUNTIFS(請假明細!$D$4:$D$103,"&lt;="&amp;A30,請假明細!$E$4:$E$103,"&gt;="&amp;A30)</f>
        <v>0</v>
      </c>
      <c r="E30" s="4">
        <f>COUNTIFS(請假明細!$D$4:$D$103,"&lt;="&amp;A30,請假明細!$E$4:$E$103,"&gt;="&amp;A30,請假明細!$C$4:$C$103,E$3)</f>
        <v>0</v>
      </c>
      <c r="F30" s="4">
        <f>COUNTIFS(請假明細!$D$4:$D$103,"&lt;="&amp;B30,請假明細!$E$4:$E$103,"&gt;="&amp;B30,請假明細!$C$4:$C$103,F$3)</f>
        <v>0</v>
      </c>
      <c r="G30" s="4">
        <f>COUNTIFS(請假明細!$D$4:$D$103,"&lt;="&amp;C30,請假明細!$E$4:$E$103,"&gt;="&amp;C30,請假明細!$C$4:$C$103,G$3)</f>
        <v>0</v>
      </c>
    </row>
    <row r="31" spans="1:7">
      <c r="A31" s="5">
        <v>46201</v>
      </c>
      <c r="B31" s="4" t="s">
        <v>25</v>
      </c>
      <c r="C31" s="3"/>
      <c r="D31" s="4">
        <f>COUNTIFS(請假明細!$D$4:$D$103,"&lt;="&amp;A31,請假明細!$E$4:$E$103,"&gt;="&amp;A31)</f>
        <v>0</v>
      </c>
      <c r="E31" s="4">
        <f>COUNTIFS(請假明細!$D$4:$D$103,"&lt;="&amp;A31,請假明細!$E$4:$E$103,"&gt;="&amp;A31,請假明細!$C$4:$C$103,E$3)</f>
        <v>0</v>
      </c>
      <c r="F31" s="4">
        <f>COUNTIFS(請假明細!$D$4:$D$103,"&lt;="&amp;B31,請假明細!$E$4:$E$103,"&gt;="&amp;B31,請假明細!$C$4:$C$103,F$3)</f>
        <v>0</v>
      </c>
      <c r="G31" s="4">
        <f>COUNTIFS(請假明細!$D$4:$D$103,"&lt;="&amp;C31,請假明細!$E$4:$E$103,"&gt;="&amp;C31,請假明細!$C$4:$C$103,G$3)</f>
        <v>0</v>
      </c>
    </row>
    <row r="32" spans="1:7">
      <c r="A32" s="5">
        <v>46202</v>
      </c>
      <c r="B32" s="4" t="s">
        <v>19</v>
      </c>
      <c r="C32" s="3"/>
      <c r="D32" s="4">
        <f>COUNTIFS(請假明細!$D$4:$D$103,"&lt;="&amp;A32,請假明細!$E$4:$E$103,"&gt;="&amp;A32)</f>
        <v>0</v>
      </c>
      <c r="E32" s="4">
        <f>COUNTIFS(請假明細!$D$4:$D$103,"&lt;="&amp;A32,請假明細!$E$4:$E$103,"&gt;="&amp;A32,請假明細!$C$4:$C$103,E$3)</f>
        <v>0</v>
      </c>
      <c r="F32" s="4">
        <f>COUNTIFS(請假明細!$D$4:$D$103,"&lt;="&amp;B32,請假明細!$E$4:$E$103,"&gt;="&amp;B32,請假明細!$C$4:$C$103,F$3)</f>
        <v>0</v>
      </c>
      <c r="G32" s="4">
        <f>COUNTIFS(請假明細!$D$4:$D$103,"&lt;="&amp;C32,請假明細!$E$4:$E$103,"&gt;="&amp;C32,請假明細!$C$4:$C$103,G$3)</f>
        <v>0</v>
      </c>
    </row>
    <row r="33" spans="1:7">
      <c r="A33" s="5">
        <v>46203</v>
      </c>
      <c r="B33" s="4" t="s">
        <v>20</v>
      </c>
      <c r="C33" s="3"/>
      <c r="D33" s="4">
        <f>COUNTIFS(請假明細!$D$4:$D$103,"&lt;="&amp;A33,請假明細!$E$4:$E$103,"&gt;="&amp;A33)</f>
        <v>0</v>
      </c>
      <c r="E33" s="4">
        <f>COUNTIFS(請假明細!$D$4:$D$103,"&lt;="&amp;A33,請假明細!$E$4:$E$103,"&gt;="&amp;A33,請假明細!$C$4:$C$103,E$3)</f>
        <v>0</v>
      </c>
      <c r="F33" s="4">
        <f>COUNTIFS(請假明細!$D$4:$D$103,"&lt;="&amp;B33,請假明細!$E$4:$E$103,"&gt;="&amp;B33,請假明細!$C$4:$C$103,F$3)</f>
        <v>0</v>
      </c>
      <c r="G33" s="4">
        <f>COUNTIFS(請假明細!$D$4:$D$103,"&lt;="&amp;C33,請假明細!$E$4:$E$103,"&gt;="&amp;C33,請假明細!$C$4:$C$103,G$3)</f>
        <v>0</v>
      </c>
    </row>
    <row r="34" spans="1:7">
      <c r="A34" s="5">
        <v>46204</v>
      </c>
      <c r="B34" s="4" t="s">
        <v>21</v>
      </c>
      <c r="C34" s="3"/>
      <c r="D34" s="4">
        <f>COUNTIFS(請假明細!$D$4:$D$103,"&lt;="&amp;A34,請假明細!$E$4:$E$103,"&gt;="&amp;A34)</f>
        <v>0</v>
      </c>
      <c r="E34" s="4">
        <f>COUNTIFS(請假明細!$D$4:$D$103,"&lt;="&amp;A34,請假明細!$E$4:$E$103,"&gt;="&amp;A34,請假明細!$C$4:$C$103,E$3)</f>
        <v>0</v>
      </c>
      <c r="F34" s="4">
        <f>COUNTIFS(請假明細!$D$4:$D$103,"&lt;="&amp;B34,請假明細!$E$4:$E$103,"&gt;="&amp;B34,請假明細!$C$4:$C$103,F$3)</f>
        <v>0</v>
      </c>
      <c r="G34" s="4">
        <f>COUNTIFS(請假明細!$D$4:$D$103,"&lt;="&amp;C34,請假明細!$E$4:$E$103,"&gt;="&amp;C34,請假明細!$C$4:$C$103,G$3)</f>
        <v>0</v>
      </c>
    </row>
    <row r="35" spans="1:7">
      <c r="A35" s="5">
        <v>46205</v>
      </c>
      <c r="B35" s="4" t="s">
        <v>22</v>
      </c>
      <c r="C35" s="3"/>
      <c r="D35" s="4">
        <f>COUNTIFS(請假明細!$D$4:$D$103,"&lt;="&amp;A35,請假明細!$E$4:$E$103,"&gt;="&amp;A35)</f>
        <v>0</v>
      </c>
      <c r="E35" s="4">
        <f>COUNTIFS(請假明細!$D$4:$D$103,"&lt;="&amp;A35,請假明細!$E$4:$E$103,"&gt;="&amp;A35,請假明細!$C$4:$C$103,E$3)</f>
        <v>0</v>
      </c>
      <c r="F35" s="4">
        <f>COUNTIFS(請假明細!$D$4:$D$103,"&lt;="&amp;B35,請假明細!$E$4:$E$103,"&gt;="&amp;B35,請假明細!$C$4:$C$103,F$3)</f>
        <v>0</v>
      </c>
      <c r="G35" s="4">
        <f>COUNTIFS(請假明細!$D$4:$D$103,"&lt;="&amp;C35,請假明細!$E$4:$E$103,"&gt;="&amp;C35,請假明細!$C$4:$C$103,G$3)</f>
        <v>0</v>
      </c>
    </row>
    <row r="36" spans="1:7">
      <c r="A36" s="5">
        <v>46206</v>
      </c>
      <c r="B36" s="4" t="s">
        <v>23</v>
      </c>
      <c r="C36" s="3"/>
      <c r="D36" s="4">
        <f>COUNTIFS(請假明細!$D$4:$D$103,"&lt;="&amp;A36,請假明細!$E$4:$E$103,"&gt;="&amp;A36)</f>
        <v>0</v>
      </c>
      <c r="E36" s="4">
        <f>COUNTIFS(請假明細!$D$4:$D$103,"&lt;="&amp;A36,請假明細!$E$4:$E$103,"&gt;="&amp;A36,請假明細!$C$4:$C$103,E$3)</f>
        <v>0</v>
      </c>
      <c r="F36" s="4">
        <f>COUNTIFS(請假明細!$D$4:$D$103,"&lt;="&amp;B36,請假明細!$E$4:$E$103,"&gt;="&amp;B36,請假明細!$C$4:$C$103,F$3)</f>
        <v>0</v>
      </c>
      <c r="G36" s="4">
        <f>COUNTIFS(請假明細!$D$4:$D$103,"&lt;="&amp;C36,請假明細!$E$4:$E$103,"&gt;="&amp;C36,請假明細!$C$4:$C$103,G$3)</f>
        <v>0</v>
      </c>
    </row>
    <row r="37" spans="1:7">
      <c r="A37" s="5">
        <v>46207</v>
      </c>
      <c r="B37" s="4" t="s">
        <v>24</v>
      </c>
      <c r="C37" s="3"/>
      <c r="D37" s="4">
        <f>COUNTIFS(請假明細!$D$4:$D$103,"&lt;="&amp;A37,請假明細!$E$4:$E$103,"&gt;="&amp;A37)</f>
        <v>0</v>
      </c>
      <c r="E37" s="4">
        <f>COUNTIFS(請假明細!$D$4:$D$103,"&lt;="&amp;A37,請假明細!$E$4:$E$103,"&gt;="&amp;A37,請假明細!$C$4:$C$103,E$3)</f>
        <v>0</v>
      </c>
      <c r="F37" s="4">
        <f>COUNTIFS(請假明細!$D$4:$D$103,"&lt;="&amp;B37,請假明細!$E$4:$E$103,"&gt;="&amp;B37,請假明細!$C$4:$C$103,F$3)</f>
        <v>0</v>
      </c>
      <c r="G37" s="4">
        <f>COUNTIFS(請假明細!$D$4:$D$103,"&lt;="&amp;C37,請假明細!$E$4:$E$103,"&gt;="&amp;C37,請假明細!$C$4:$C$103,G$3)</f>
        <v>0</v>
      </c>
    </row>
    <row r="38" spans="1:7">
      <c r="A38" s="5">
        <v>46208</v>
      </c>
      <c r="B38" s="4" t="s">
        <v>25</v>
      </c>
      <c r="C38" s="3"/>
      <c r="D38" s="4">
        <f>COUNTIFS(請假明細!$D$4:$D$103,"&lt;="&amp;A38,請假明細!$E$4:$E$103,"&gt;="&amp;A38)</f>
        <v>0</v>
      </c>
      <c r="E38" s="4">
        <f>COUNTIFS(請假明細!$D$4:$D$103,"&lt;="&amp;A38,請假明細!$E$4:$E$103,"&gt;="&amp;A38,請假明細!$C$4:$C$103,E$3)</f>
        <v>0</v>
      </c>
      <c r="F38" s="4">
        <f>COUNTIFS(請假明細!$D$4:$D$103,"&lt;="&amp;B38,請假明細!$E$4:$E$103,"&gt;="&amp;B38,請假明細!$C$4:$C$103,F$3)</f>
        <v>0</v>
      </c>
      <c r="G38" s="4">
        <f>COUNTIFS(請假明細!$D$4:$D$103,"&lt;="&amp;C38,請假明細!$E$4:$E$103,"&gt;="&amp;C38,請假明細!$C$4:$C$103,G$3)</f>
        <v>0</v>
      </c>
    </row>
    <row r="39" spans="1:7">
      <c r="A39" s="5">
        <v>46209</v>
      </c>
      <c r="B39" s="4" t="s">
        <v>19</v>
      </c>
      <c r="C39" s="3"/>
      <c r="D39" s="4">
        <f>COUNTIFS(請假明細!$D$4:$D$103,"&lt;="&amp;A39,請假明細!$E$4:$E$103,"&gt;="&amp;A39)</f>
        <v>0</v>
      </c>
      <c r="E39" s="4">
        <f>COUNTIFS(請假明細!$D$4:$D$103,"&lt;="&amp;A39,請假明細!$E$4:$E$103,"&gt;="&amp;A39,請假明細!$C$4:$C$103,E$3)</f>
        <v>0</v>
      </c>
      <c r="F39" s="4">
        <f>COUNTIFS(請假明細!$D$4:$D$103,"&lt;="&amp;B39,請假明細!$E$4:$E$103,"&gt;="&amp;B39,請假明細!$C$4:$C$103,F$3)</f>
        <v>0</v>
      </c>
      <c r="G39" s="4">
        <f>COUNTIFS(請假明細!$D$4:$D$103,"&lt;="&amp;C39,請假明細!$E$4:$E$103,"&gt;="&amp;C39,請假明細!$C$4:$C$103,G$3)</f>
        <v>0</v>
      </c>
    </row>
    <row r="40" spans="1:7">
      <c r="A40" s="5">
        <v>46210</v>
      </c>
      <c r="B40" s="4" t="s">
        <v>20</v>
      </c>
      <c r="C40" s="3"/>
      <c r="D40" s="4">
        <f>COUNTIFS(請假明細!$D$4:$D$103,"&lt;="&amp;A40,請假明細!$E$4:$E$103,"&gt;="&amp;A40)</f>
        <v>0</v>
      </c>
      <c r="E40" s="4">
        <f>COUNTIFS(請假明細!$D$4:$D$103,"&lt;="&amp;A40,請假明細!$E$4:$E$103,"&gt;="&amp;A40,請假明細!$C$4:$C$103,E$3)</f>
        <v>0</v>
      </c>
      <c r="F40" s="4">
        <f>COUNTIFS(請假明細!$D$4:$D$103,"&lt;="&amp;B40,請假明細!$E$4:$E$103,"&gt;="&amp;B40,請假明細!$C$4:$C$103,F$3)</f>
        <v>0</v>
      </c>
      <c r="G40" s="4">
        <f>COUNTIFS(請假明細!$D$4:$D$103,"&lt;="&amp;C40,請假明細!$E$4:$E$103,"&gt;="&amp;C40,請假明細!$C$4:$C$103,G$3)</f>
        <v>0</v>
      </c>
    </row>
    <row r="41" spans="1:7">
      <c r="A41" s="5">
        <v>46211</v>
      </c>
      <c r="B41" s="4" t="s">
        <v>21</v>
      </c>
      <c r="C41" s="3"/>
      <c r="D41" s="4">
        <f>COUNTIFS(請假明細!$D$4:$D$103,"&lt;="&amp;A41,請假明細!$E$4:$E$103,"&gt;="&amp;A41)</f>
        <v>0</v>
      </c>
      <c r="E41" s="4">
        <f>COUNTIFS(請假明細!$D$4:$D$103,"&lt;="&amp;A41,請假明細!$E$4:$E$103,"&gt;="&amp;A41,請假明細!$C$4:$C$103,E$3)</f>
        <v>0</v>
      </c>
      <c r="F41" s="4">
        <f>COUNTIFS(請假明細!$D$4:$D$103,"&lt;="&amp;B41,請假明細!$E$4:$E$103,"&gt;="&amp;B41,請假明細!$C$4:$C$103,F$3)</f>
        <v>0</v>
      </c>
      <c r="G41" s="4">
        <f>COUNTIFS(請假明細!$D$4:$D$103,"&lt;="&amp;C41,請假明細!$E$4:$E$103,"&gt;="&amp;C41,請假明細!$C$4:$C$103,G$3)</f>
        <v>0</v>
      </c>
    </row>
    <row r="42" spans="1:7">
      <c r="A42" s="5">
        <v>46212</v>
      </c>
      <c r="B42" s="4" t="s">
        <v>22</v>
      </c>
      <c r="C42" s="3"/>
      <c r="D42" s="4">
        <f>COUNTIFS(請假明細!$D$4:$D$103,"&lt;="&amp;A42,請假明細!$E$4:$E$103,"&gt;="&amp;A42)</f>
        <v>0</v>
      </c>
      <c r="E42" s="4">
        <f>COUNTIFS(請假明細!$D$4:$D$103,"&lt;="&amp;A42,請假明細!$E$4:$E$103,"&gt;="&amp;A42,請假明細!$C$4:$C$103,E$3)</f>
        <v>0</v>
      </c>
      <c r="F42" s="4">
        <f>COUNTIFS(請假明細!$D$4:$D$103,"&lt;="&amp;B42,請假明細!$E$4:$E$103,"&gt;="&amp;B42,請假明細!$C$4:$C$103,F$3)</f>
        <v>0</v>
      </c>
      <c r="G42" s="4">
        <f>COUNTIFS(請假明細!$D$4:$D$103,"&lt;="&amp;C42,請假明細!$E$4:$E$103,"&gt;="&amp;C42,請假明細!$C$4:$C$103,G$3)</f>
        <v>0</v>
      </c>
    </row>
    <row r="43" spans="1:7">
      <c r="A43" s="5">
        <v>46213</v>
      </c>
      <c r="B43" s="4" t="s">
        <v>23</v>
      </c>
      <c r="C43" s="3"/>
      <c r="D43" s="4">
        <f>COUNTIFS(請假明細!$D$4:$D$103,"&lt;="&amp;A43,請假明細!$E$4:$E$103,"&gt;="&amp;A43)</f>
        <v>0</v>
      </c>
      <c r="E43" s="4">
        <f>COUNTIFS(請假明細!$D$4:$D$103,"&lt;="&amp;A43,請假明細!$E$4:$E$103,"&gt;="&amp;A43,請假明細!$C$4:$C$103,E$3)</f>
        <v>0</v>
      </c>
      <c r="F43" s="4">
        <f>COUNTIFS(請假明細!$D$4:$D$103,"&lt;="&amp;B43,請假明細!$E$4:$E$103,"&gt;="&amp;B43,請假明細!$C$4:$C$103,F$3)</f>
        <v>0</v>
      </c>
      <c r="G43" s="4">
        <f>COUNTIFS(請假明細!$D$4:$D$103,"&lt;="&amp;C43,請假明細!$E$4:$E$103,"&gt;="&amp;C43,請假明細!$C$4:$C$103,G$3)</f>
        <v>0</v>
      </c>
    </row>
    <row r="44" spans="1:7">
      <c r="A44" s="5">
        <v>46214</v>
      </c>
      <c r="B44" s="4" t="s">
        <v>24</v>
      </c>
      <c r="C44" s="3"/>
      <c r="D44" s="4">
        <f>COUNTIFS(請假明細!$D$4:$D$103,"&lt;="&amp;A44,請假明細!$E$4:$E$103,"&gt;="&amp;A44)</f>
        <v>0</v>
      </c>
      <c r="E44" s="4">
        <f>COUNTIFS(請假明細!$D$4:$D$103,"&lt;="&amp;A44,請假明細!$E$4:$E$103,"&gt;="&amp;A44,請假明細!$C$4:$C$103,E$3)</f>
        <v>0</v>
      </c>
      <c r="F44" s="4">
        <f>COUNTIFS(請假明細!$D$4:$D$103,"&lt;="&amp;B44,請假明細!$E$4:$E$103,"&gt;="&amp;B44,請假明細!$C$4:$C$103,F$3)</f>
        <v>0</v>
      </c>
      <c r="G44" s="4">
        <f>COUNTIFS(請假明細!$D$4:$D$103,"&lt;="&amp;C44,請假明細!$E$4:$E$103,"&gt;="&amp;C44,請假明細!$C$4:$C$103,G$3)</f>
        <v>0</v>
      </c>
    </row>
    <row r="45" spans="1:7">
      <c r="A45" s="5">
        <v>46215</v>
      </c>
      <c r="B45" s="4" t="s">
        <v>25</v>
      </c>
      <c r="C45" s="3"/>
      <c r="D45" s="4">
        <f>COUNTIFS(請假明細!$D$4:$D$103,"&lt;="&amp;A45,請假明細!$E$4:$E$103,"&gt;="&amp;A45)</f>
        <v>0</v>
      </c>
      <c r="E45" s="4">
        <f>COUNTIFS(請假明細!$D$4:$D$103,"&lt;="&amp;A45,請假明細!$E$4:$E$103,"&gt;="&amp;A45,請假明細!$C$4:$C$103,E$3)</f>
        <v>0</v>
      </c>
      <c r="F45" s="4">
        <f>COUNTIFS(請假明細!$D$4:$D$103,"&lt;="&amp;B45,請假明細!$E$4:$E$103,"&gt;="&amp;B45,請假明細!$C$4:$C$103,F$3)</f>
        <v>0</v>
      </c>
      <c r="G45" s="4">
        <f>COUNTIFS(請假明細!$D$4:$D$103,"&lt;="&amp;C45,請假明細!$E$4:$E$103,"&gt;="&amp;C45,請假明細!$C$4:$C$103,G$3)</f>
        <v>0</v>
      </c>
    </row>
    <row r="46" spans="1:7">
      <c r="A46" s="5">
        <v>46216</v>
      </c>
      <c r="B46" s="4" t="s">
        <v>19</v>
      </c>
      <c r="C46" s="3"/>
      <c r="D46" s="4">
        <f>COUNTIFS(請假明細!$D$4:$D$103,"&lt;="&amp;A46,請假明細!$E$4:$E$103,"&gt;="&amp;A46)</f>
        <v>1</v>
      </c>
      <c r="E46" s="4">
        <f>COUNTIFS(請假明細!$D$4:$D$103,"&lt;="&amp;A46,請假明細!$E$4:$E$103,"&gt;="&amp;A46,請假明細!$C$4:$C$103,E$3)</f>
        <v>0</v>
      </c>
      <c r="F46" s="4">
        <f>COUNTIFS(請假明細!$D$4:$D$103,"&lt;="&amp;B46,請假明細!$E$4:$E$103,"&gt;="&amp;B46,請假明細!$C$4:$C$103,F$3)</f>
        <v>0</v>
      </c>
      <c r="G46" s="4">
        <f>COUNTIFS(請假明細!$D$4:$D$103,"&lt;="&amp;C46,請假明細!$E$4:$E$103,"&gt;="&amp;C46,請假明細!$C$4:$C$103,G$3)</f>
        <v>0</v>
      </c>
    </row>
    <row r="47" spans="1:7">
      <c r="A47" s="5">
        <v>46217</v>
      </c>
      <c r="B47" s="4" t="s">
        <v>20</v>
      </c>
      <c r="C47" s="3"/>
      <c r="D47" s="4">
        <f>COUNTIFS(請假明細!$D$4:$D$103,"&lt;="&amp;A47,請假明細!$E$4:$E$103,"&gt;="&amp;A47)</f>
        <v>1</v>
      </c>
      <c r="E47" s="4">
        <f>COUNTIFS(請假明細!$D$4:$D$103,"&lt;="&amp;A47,請假明細!$E$4:$E$103,"&gt;="&amp;A47,請假明細!$C$4:$C$103,E$3)</f>
        <v>0</v>
      </c>
      <c r="F47" s="4">
        <f>COUNTIFS(請假明細!$D$4:$D$103,"&lt;="&amp;B47,請假明細!$E$4:$E$103,"&gt;="&amp;B47,請假明細!$C$4:$C$103,F$3)</f>
        <v>0</v>
      </c>
      <c r="G47" s="4">
        <f>COUNTIFS(請假明細!$D$4:$D$103,"&lt;="&amp;C47,請假明細!$E$4:$E$103,"&gt;="&amp;C47,請假明細!$C$4:$C$103,G$3)</f>
        <v>0</v>
      </c>
    </row>
    <row r="48" spans="1:7">
      <c r="A48" s="5">
        <v>46218</v>
      </c>
      <c r="B48" s="4" t="s">
        <v>21</v>
      </c>
      <c r="C48" s="3"/>
      <c r="D48" s="4">
        <f>COUNTIFS(請假明細!$D$4:$D$103,"&lt;="&amp;A48,請假明細!$E$4:$E$103,"&gt;="&amp;A48)</f>
        <v>1</v>
      </c>
      <c r="E48" s="4">
        <f>COUNTIFS(請假明細!$D$4:$D$103,"&lt;="&amp;A48,請假明細!$E$4:$E$103,"&gt;="&amp;A48,請假明細!$C$4:$C$103,E$3)</f>
        <v>0</v>
      </c>
      <c r="F48" s="4">
        <f>COUNTIFS(請假明細!$D$4:$D$103,"&lt;="&amp;B48,請假明細!$E$4:$E$103,"&gt;="&amp;B48,請假明細!$C$4:$C$103,F$3)</f>
        <v>0</v>
      </c>
      <c r="G48" s="4">
        <f>COUNTIFS(請假明細!$D$4:$D$103,"&lt;="&amp;C48,請假明細!$E$4:$E$103,"&gt;="&amp;C48,請假明細!$C$4:$C$103,G$3)</f>
        <v>0</v>
      </c>
    </row>
    <row r="49" spans="1:7">
      <c r="A49" s="5">
        <v>46219</v>
      </c>
      <c r="B49" s="4" t="s">
        <v>22</v>
      </c>
      <c r="C49" s="3"/>
      <c r="D49" s="4">
        <f>COUNTIFS(請假明細!$D$4:$D$103,"&lt;="&amp;A49,請假明細!$E$4:$E$103,"&gt;="&amp;A49)</f>
        <v>1</v>
      </c>
      <c r="E49" s="4">
        <f>COUNTIFS(請假明細!$D$4:$D$103,"&lt;="&amp;A49,請假明細!$E$4:$E$103,"&gt;="&amp;A49,請假明細!$C$4:$C$103,E$3)</f>
        <v>0</v>
      </c>
      <c r="F49" s="4">
        <f>COUNTIFS(請假明細!$D$4:$D$103,"&lt;="&amp;B49,請假明細!$E$4:$E$103,"&gt;="&amp;B49,請假明細!$C$4:$C$103,F$3)</f>
        <v>0</v>
      </c>
      <c r="G49" s="4">
        <f>COUNTIFS(請假明細!$D$4:$D$103,"&lt;="&amp;C49,請假明細!$E$4:$E$103,"&gt;="&amp;C49,請假明細!$C$4:$C$103,G$3)</f>
        <v>0</v>
      </c>
    </row>
    <row r="50" spans="1:7">
      <c r="A50" s="5">
        <v>46220</v>
      </c>
      <c r="B50" s="4" t="s">
        <v>23</v>
      </c>
      <c r="C50" s="3"/>
      <c r="D50" s="4">
        <f>COUNTIFS(請假明細!$D$4:$D$103,"&lt;="&amp;A50,請假明細!$E$4:$E$103,"&gt;="&amp;A50)</f>
        <v>1</v>
      </c>
      <c r="E50" s="4">
        <f>COUNTIFS(請假明細!$D$4:$D$103,"&lt;="&amp;A50,請假明細!$E$4:$E$103,"&gt;="&amp;A50,請假明細!$C$4:$C$103,E$3)</f>
        <v>0</v>
      </c>
      <c r="F50" s="4">
        <f>COUNTIFS(請假明細!$D$4:$D$103,"&lt;="&amp;B50,請假明細!$E$4:$E$103,"&gt;="&amp;B50,請假明細!$C$4:$C$103,F$3)</f>
        <v>0</v>
      </c>
      <c r="G50" s="4">
        <f>COUNTIFS(請假明細!$D$4:$D$103,"&lt;="&amp;C50,請假明細!$E$4:$E$103,"&gt;="&amp;C50,請假明細!$C$4:$C$103,G$3)</f>
        <v>0</v>
      </c>
    </row>
    <row r="51" spans="1:7">
      <c r="A51" s="5">
        <v>46221</v>
      </c>
      <c r="B51" s="4" t="s">
        <v>24</v>
      </c>
      <c r="C51" s="3"/>
      <c r="D51" s="4">
        <f>COUNTIFS(請假明細!$D$4:$D$103,"&lt;="&amp;A51,請假明細!$E$4:$E$103,"&gt;="&amp;A51)</f>
        <v>0</v>
      </c>
      <c r="E51" s="4">
        <f>COUNTIFS(請假明細!$D$4:$D$103,"&lt;="&amp;A51,請假明細!$E$4:$E$103,"&gt;="&amp;A51,請假明細!$C$4:$C$103,E$3)</f>
        <v>0</v>
      </c>
      <c r="F51" s="4">
        <f>COUNTIFS(請假明細!$D$4:$D$103,"&lt;="&amp;B51,請假明細!$E$4:$E$103,"&gt;="&amp;B51,請假明細!$C$4:$C$103,F$3)</f>
        <v>0</v>
      </c>
      <c r="G51" s="4">
        <f>COUNTIFS(請假明細!$D$4:$D$103,"&lt;="&amp;C51,請假明細!$E$4:$E$103,"&gt;="&amp;C51,請假明細!$C$4:$C$103,G$3)</f>
        <v>0</v>
      </c>
    </row>
    <row r="52" spans="1:7">
      <c r="A52" s="5">
        <v>46222</v>
      </c>
      <c r="B52" s="4" t="s">
        <v>25</v>
      </c>
      <c r="C52" s="3"/>
      <c r="D52" s="4">
        <f>COUNTIFS(請假明細!$D$4:$D$103,"&lt;="&amp;A52,請假明細!$E$4:$E$103,"&gt;="&amp;A52)</f>
        <v>0</v>
      </c>
      <c r="E52" s="4">
        <f>COUNTIFS(請假明細!$D$4:$D$103,"&lt;="&amp;A52,請假明細!$E$4:$E$103,"&gt;="&amp;A52,請假明細!$C$4:$C$103,E$3)</f>
        <v>0</v>
      </c>
      <c r="F52" s="4">
        <f>COUNTIFS(請假明細!$D$4:$D$103,"&lt;="&amp;B52,請假明細!$E$4:$E$103,"&gt;="&amp;B52,請假明細!$C$4:$C$103,F$3)</f>
        <v>0</v>
      </c>
      <c r="G52" s="4">
        <f>COUNTIFS(請假明細!$D$4:$D$103,"&lt;="&amp;C52,請假明細!$E$4:$E$103,"&gt;="&amp;C52,請假明細!$C$4:$C$103,G$3)</f>
        <v>0</v>
      </c>
    </row>
    <row r="53" spans="1:7">
      <c r="A53" s="5">
        <v>46223</v>
      </c>
      <c r="B53" s="4" t="s">
        <v>19</v>
      </c>
      <c r="C53" s="3"/>
      <c r="D53" s="4">
        <f>COUNTIFS(請假明細!$D$4:$D$103,"&lt;="&amp;A53,請假明細!$E$4:$E$103,"&gt;="&amp;A53)</f>
        <v>1</v>
      </c>
      <c r="E53" s="4">
        <f>COUNTIFS(請假明細!$D$4:$D$103,"&lt;="&amp;A53,請假明細!$E$4:$E$103,"&gt;="&amp;A53,請假明細!$C$4:$C$103,E$3)</f>
        <v>0</v>
      </c>
      <c r="F53" s="4">
        <f>COUNTIFS(請假明細!$D$4:$D$103,"&lt;="&amp;B53,請假明細!$E$4:$E$103,"&gt;="&amp;B53,請假明細!$C$4:$C$103,F$3)</f>
        <v>0</v>
      </c>
      <c r="G53" s="4">
        <f>COUNTIFS(請假明細!$D$4:$D$103,"&lt;="&amp;C53,請假明細!$E$4:$E$103,"&gt;="&amp;C53,請假明細!$C$4:$C$103,G$3)</f>
        <v>0</v>
      </c>
    </row>
    <row r="54" spans="1:7">
      <c r="A54" s="5">
        <v>46224</v>
      </c>
      <c r="B54" s="4" t="s">
        <v>20</v>
      </c>
      <c r="C54" s="3"/>
      <c r="D54" s="4">
        <f>COUNTIFS(請假明細!$D$4:$D$103,"&lt;="&amp;A54,請假明細!$E$4:$E$103,"&gt;="&amp;A54)</f>
        <v>0</v>
      </c>
      <c r="E54" s="4">
        <f>COUNTIFS(請假明細!$D$4:$D$103,"&lt;="&amp;A54,請假明細!$E$4:$E$103,"&gt;="&amp;A54,請假明細!$C$4:$C$103,E$3)</f>
        <v>0</v>
      </c>
      <c r="F54" s="4">
        <f>COUNTIFS(請假明細!$D$4:$D$103,"&lt;="&amp;B54,請假明細!$E$4:$E$103,"&gt;="&amp;B54,請假明細!$C$4:$C$103,F$3)</f>
        <v>0</v>
      </c>
      <c r="G54" s="4">
        <f>COUNTIFS(請假明細!$D$4:$D$103,"&lt;="&amp;C54,請假明細!$E$4:$E$103,"&gt;="&amp;C54,請假明細!$C$4:$C$103,G$3)</f>
        <v>0</v>
      </c>
    </row>
    <row r="55" spans="1:7">
      <c r="A55" s="5">
        <v>46225</v>
      </c>
      <c r="B55" s="4" t="s">
        <v>21</v>
      </c>
      <c r="C55" s="3"/>
      <c r="D55" s="4">
        <f>COUNTIFS(請假明細!$D$4:$D$103,"&lt;="&amp;A55,請假明細!$E$4:$E$103,"&gt;="&amp;A55)</f>
        <v>0</v>
      </c>
      <c r="E55" s="4">
        <f>COUNTIFS(請假明細!$D$4:$D$103,"&lt;="&amp;A55,請假明細!$E$4:$E$103,"&gt;="&amp;A55,請假明細!$C$4:$C$103,E$3)</f>
        <v>0</v>
      </c>
      <c r="F55" s="4">
        <f>COUNTIFS(請假明細!$D$4:$D$103,"&lt;="&amp;B55,請假明細!$E$4:$E$103,"&gt;="&amp;B55,請假明細!$C$4:$C$103,F$3)</f>
        <v>0</v>
      </c>
      <c r="G55" s="4">
        <f>COUNTIFS(請假明細!$D$4:$D$103,"&lt;="&amp;C55,請假明細!$E$4:$E$103,"&gt;="&amp;C55,請假明細!$C$4:$C$103,G$3)</f>
        <v>0</v>
      </c>
    </row>
    <row r="56" spans="1:7">
      <c r="A56" s="5">
        <v>46226</v>
      </c>
      <c r="B56" s="4" t="s">
        <v>22</v>
      </c>
      <c r="C56" s="3"/>
      <c r="D56" s="4">
        <f>COUNTIFS(請假明細!$D$4:$D$103,"&lt;="&amp;A56,請假明細!$E$4:$E$103,"&gt;="&amp;A56)</f>
        <v>0</v>
      </c>
      <c r="E56" s="4">
        <f>COUNTIFS(請假明細!$D$4:$D$103,"&lt;="&amp;A56,請假明細!$E$4:$E$103,"&gt;="&amp;A56,請假明細!$C$4:$C$103,E$3)</f>
        <v>0</v>
      </c>
      <c r="F56" s="4">
        <f>COUNTIFS(請假明細!$D$4:$D$103,"&lt;="&amp;B56,請假明細!$E$4:$E$103,"&gt;="&amp;B56,請假明細!$C$4:$C$103,F$3)</f>
        <v>0</v>
      </c>
      <c r="G56" s="4">
        <f>COUNTIFS(請假明細!$D$4:$D$103,"&lt;="&amp;C56,請假明細!$E$4:$E$103,"&gt;="&amp;C56,請假明細!$C$4:$C$103,G$3)</f>
        <v>0</v>
      </c>
    </row>
    <row r="57" spans="1:7">
      <c r="A57" s="5">
        <v>46227</v>
      </c>
      <c r="B57" s="4" t="s">
        <v>23</v>
      </c>
      <c r="C57" s="3"/>
      <c r="D57" s="4">
        <f>COUNTIFS(請假明細!$D$4:$D$103,"&lt;="&amp;A57,請假明細!$E$4:$E$103,"&gt;="&amp;A57)</f>
        <v>0</v>
      </c>
      <c r="E57" s="4">
        <f>COUNTIFS(請假明細!$D$4:$D$103,"&lt;="&amp;A57,請假明細!$E$4:$E$103,"&gt;="&amp;A57,請假明細!$C$4:$C$103,E$3)</f>
        <v>0</v>
      </c>
      <c r="F57" s="4">
        <f>COUNTIFS(請假明細!$D$4:$D$103,"&lt;="&amp;B57,請假明細!$E$4:$E$103,"&gt;="&amp;B57,請假明細!$C$4:$C$103,F$3)</f>
        <v>0</v>
      </c>
      <c r="G57" s="4">
        <f>COUNTIFS(請假明細!$D$4:$D$103,"&lt;="&amp;C57,請假明細!$E$4:$E$103,"&gt;="&amp;C57,請假明細!$C$4:$C$103,G$3)</f>
        <v>0</v>
      </c>
    </row>
    <row r="58" spans="1:7">
      <c r="A58" s="5">
        <v>46228</v>
      </c>
      <c r="B58" s="4" t="s">
        <v>24</v>
      </c>
      <c r="C58" s="3"/>
      <c r="D58" s="4">
        <f>COUNTIFS(請假明細!$D$4:$D$103,"&lt;="&amp;A58,請假明細!$E$4:$E$103,"&gt;="&amp;A58)</f>
        <v>0</v>
      </c>
      <c r="E58" s="4">
        <f>COUNTIFS(請假明細!$D$4:$D$103,"&lt;="&amp;A58,請假明細!$E$4:$E$103,"&gt;="&amp;A58,請假明細!$C$4:$C$103,E$3)</f>
        <v>0</v>
      </c>
      <c r="F58" s="4">
        <f>COUNTIFS(請假明細!$D$4:$D$103,"&lt;="&amp;B58,請假明細!$E$4:$E$103,"&gt;="&amp;B58,請假明細!$C$4:$C$103,F$3)</f>
        <v>0</v>
      </c>
      <c r="G58" s="4">
        <f>COUNTIFS(請假明細!$D$4:$D$103,"&lt;="&amp;C58,請假明細!$E$4:$E$103,"&gt;="&amp;C58,請假明細!$C$4:$C$103,G$3)</f>
        <v>0</v>
      </c>
    </row>
    <row r="59" spans="1:7">
      <c r="A59" s="5">
        <v>46229</v>
      </c>
      <c r="B59" s="4" t="s">
        <v>25</v>
      </c>
      <c r="C59" s="3"/>
      <c r="D59" s="4">
        <f>COUNTIFS(請假明細!$D$4:$D$103,"&lt;="&amp;A59,請假明細!$E$4:$E$103,"&gt;="&amp;A59)</f>
        <v>0</v>
      </c>
      <c r="E59" s="4">
        <f>COUNTIFS(請假明細!$D$4:$D$103,"&lt;="&amp;A59,請假明細!$E$4:$E$103,"&gt;="&amp;A59,請假明細!$C$4:$C$103,E$3)</f>
        <v>0</v>
      </c>
      <c r="F59" s="4">
        <f>COUNTIFS(請假明細!$D$4:$D$103,"&lt;="&amp;B59,請假明細!$E$4:$E$103,"&gt;="&amp;B59,請假明細!$C$4:$C$103,F$3)</f>
        <v>0</v>
      </c>
      <c r="G59" s="4">
        <f>COUNTIFS(請假明細!$D$4:$D$103,"&lt;="&amp;C59,請假明細!$E$4:$E$103,"&gt;="&amp;C59,請假明細!$C$4:$C$103,G$3)</f>
        <v>0</v>
      </c>
    </row>
    <row r="60" spans="1:7">
      <c r="A60" s="5">
        <v>46230</v>
      </c>
      <c r="B60" s="4" t="s">
        <v>19</v>
      </c>
      <c r="C60" s="3"/>
      <c r="D60" s="4">
        <f>COUNTIFS(請假明細!$D$4:$D$103,"&lt;="&amp;A60,請假明細!$E$4:$E$103,"&gt;="&amp;A60)</f>
        <v>0</v>
      </c>
      <c r="E60" s="4">
        <f>COUNTIFS(請假明細!$D$4:$D$103,"&lt;="&amp;A60,請假明細!$E$4:$E$103,"&gt;="&amp;A60,請假明細!$C$4:$C$103,E$3)</f>
        <v>0</v>
      </c>
      <c r="F60" s="4">
        <f>COUNTIFS(請假明細!$D$4:$D$103,"&lt;="&amp;B60,請假明細!$E$4:$E$103,"&gt;="&amp;B60,請假明細!$C$4:$C$103,F$3)</f>
        <v>0</v>
      </c>
      <c r="G60" s="4">
        <f>COUNTIFS(請假明細!$D$4:$D$103,"&lt;="&amp;C60,請假明細!$E$4:$E$103,"&gt;="&amp;C60,請假明細!$C$4:$C$103,G$3)</f>
        <v>0</v>
      </c>
    </row>
    <row r="61" spans="1:7">
      <c r="A61" s="5">
        <v>46231</v>
      </c>
      <c r="B61" s="4" t="s">
        <v>20</v>
      </c>
      <c r="C61" s="3"/>
      <c r="D61" s="4">
        <f>COUNTIFS(請假明細!$D$4:$D$103,"&lt;="&amp;A61,請假明細!$E$4:$E$103,"&gt;="&amp;A61)</f>
        <v>0</v>
      </c>
      <c r="E61" s="4">
        <f>COUNTIFS(請假明細!$D$4:$D$103,"&lt;="&amp;A61,請假明細!$E$4:$E$103,"&gt;="&amp;A61,請假明細!$C$4:$C$103,E$3)</f>
        <v>0</v>
      </c>
      <c r="F61" s="4">
        <f>COUNTIFS(請假明細!$D$4:$D$103,"&lt;="&amp;B61,請假明細!$E$4:$E$103,"&gt;="&amp;B61,請假明細!$C$4:$C$103,F$3)</f>
        <v>0</v>
      </c>
      <c r="G61" s="4">
        <f>COUNTIFS(請假明細!$D$4:$D$103,"&lt;="&amp;C61,請假明細!$E$4:$E$103,"&gt;="&amp;C61,請假明細!$C$4:$C$103,G$3)</f>
        <v>0</v>
      </c>
    </row>
    <row r="62" spans="1:7">
      <c r="A62" s="5">
        <v>46232</v>
      </c>
      <c r="B62" s="4" t="s">
        <v>21</v>
      </c>
      <c r="C62" s="3"/>
      <c r="D62" s="4">
        <f>COUNTIFS(請假明細!$D$4:$D$103,"&lt;="&amp;A62,請假明細!$E$4:$E$103,"&gt;="&amp;A62)</f>
        <v>0</v>
      </c>
      <c r="E62" s="4">
        <f>COUNTIFS(請假明細!$D$4:$D$103,"&lt;="&amp;A62,請假明細!$E$4:$E$103,"&gt;="&amp;A62,請假明細!$C$4:$C$103,E$3)</f>
        <v>0</v>
      </c>
      <c r="F62" s="4">
        <f>COUNTIFS(請假明細!$D$4:$D$103,"&lt;="&amp;B62,請假明細!$E$4:$E$103,"&gt;="&amp;B62,請假明細!$C$4:$C$103,F$3)</f>
        <v>0</v>
      </c>
      <c r="G62" s="4">
        <f>COUNTIFS(請假明細!$D$4:$D$103,"&lt;="&amp;C62,請假明細!$E$4:$E$103,"&gt;="&amp;C62,請假明細!$C$4:$C$103,G$3)</f>
        <v>0</v>
      </c>
    </row>
    <row r="63" spans="1:7">
      <c r="A63" s="5">
        <v>46233</v>
      </c>
      <c r="B63" s="4" t="s">
        <v>22</v>
      </c>
      <c r="C63" s="3"/>
      <c r="D63" s="4">
        <f>COUNTIFS(請假明細!$D$4:$D$103,"&lt;="&amp;A63,請假明細!$E$4:$E$103,"&gt;="&amp;A63)</f>
        <v>0</v>
      </c>
      <c r="E63" s="4">
        <f>COUNTIFS(請假明細!$D$4:$D$103,"&lt;="&amp;A63,請假明細!$E$4:$E$103,"&gt;="&amp;A63,請假明細!$C$4:$C$103,E$3)</f>
        <v>0</v>
      </c>
      <c r="F63" s="4">
        <f>COUNTIFS(請假明細!$D$4:$D$103,"&lt;="&amp;B63,請假明細!$E$4:$E$103,"&gt;="&amp;B63,請假明細!$C$4:$C$103,F$3)</f>
        <v>0</v>
      </c>
      <c r="G63" s="4">
        <f>COUNTIFS(請假明細!$D$4:$D$103,"&lt;="&amp;C63,請假明細!$E$4:$E$103,"&gt;="&amp;C63,請假明細!$C$4:$C$103,G$3)</f>
        <v>0</v>
      </c>
    </row>
    <row r="64" spans="1:7">
      <c r="A64" s="5">
        <v>46234</v>
      </c>
      <c r="B64" s="4" t="s">
        <v>23</v>
      </c>
      <c r="C64" s="3"/>
      <c r="D64" s="4">
        <f>COUNTIFS(請假明細!$D$4:$D$103,"&lt;="&amp;A64,請假明細!$E$4:$E$103,"&gt;="&amp;A64)</f>
        <v>0</v>
      </c>
      <c r="E64" s="4">
        <f>COUNTIFS(請假明細!$D$4:$D$103,"&lt;="&amp;A64,請假明細!$E$4:$E$103,"&gt;="&amp;A64,請假明細!$C$4:$C$103,E$3)</f>
        <v>0</v>
      </c>
      <c r="F64" s="4">
        <f>COUNTIFS(請假明細!$D$4:$D$103,"&lt;="&amp;B64,請假明細!$E$4:$E$103,"&gt;="&amp;B64,請假明細!$C$4:$C$103,F$3)</f>
        <v>0</v>
      </c>
      <c r="G64" s="4">
        <f>COUNTIFS(請假明細!$D$4:$D$103,"&lt;="&amp;C64,請假明細!$E$4:$E$103,"&gt;="&amp;C64,請假明細!$C$4:$C$103,G$3)</f>
        <v>0</v>
      </c>
    </row>
    <row r="65" spans="1:7">
      <c r="A65" s="5">
        <v>46235</v>
      </c>
      <c r="B65" s="4" t="s">
        <v>24</v>
      </c>
      <c r="C65" s="3"/>
      <c r="D65" s="4">
        <f>COUNTIFS(請假明細!$D$4:$D$103,"&lt;="&amp;A65,請假明細!$E$4:$E$103,"&gt;="&amp;A65)</f>
        <v>0</v>
      </c>
      <c r="E65" s="4">
        <f>COUNTIFS(請假明細!$D$4:$D$103,"&lt;="&amp;A65,請假明細!$E$4:$E$103,"&gt;="&amp;A65,請假明細!$C$4:$C$103,E$3)</f>
        <v>0</v>
      </c>
      <c r="F65" s="4">
        <f>COUNTIFS(請假明細!$D$4:$D$103,"&lt;="&amp;B65,請假明細!$E$4:$E$103,"&gt;="&amp;B65,請假明細!$C$4:$C$103,F$3)</f>
        <v>0</v>
      </c>
      <c r="G65" s="4">
        <f>COUNTIFS(請假明細!$D$4:$D$103,"&lt;="&amp;C65,請假明細!$E$4:$E$103,"&gt;="&amp;C65,請假明細!$C$4:$C$103,G$3)</f>
        <v>0</v>
      </c>
    </row>
    <row r="66" spans="1:7">
      <c r="A66" s="5">
        <v>46236</v>
      </c>
      <c r="B66" s="4" t="s">
        <v>25</v>
      </c>
      <c r="C66" s="3"/>
      <c r="D66" s="4">
        <f>COUNTIFS(請假明細!$D$4:$D$103,"&lt;="&amp;A66,請假明細!$E$4:$E$103,"&gt;="&amp;A66)</f>
        <v>0</v>
      </c>
      <c r="E66" s="4">
        <f>COUNTIFS(請假明細!$D$4:$D$103,"&lt;="&amp;A66,請假明細!$E$4:$E$103,"&gt;="&amp;A66,請假明細!$C$4:$C$103,E$3)</f>
        <v>0</v>
      </c>
      <c r="F66" s="4">
        <f>COUNTIFS(請假明細!$D$4:$D$103,"&lt;="&amp;B66,請假明細!$E$4:$E$103,"&gt;="&amp;B66,請假明細!$C$4:$C$103,F$3)</f>
        <v>0</v>
      </c>
      <c r="G66" s="4">
        <f>COUNTIFS(請假明細!$D$4:$D$103,"&lt;="&amp;C66,請假明細!$E$4:$E$103,"&gt;="&amp;C66,請假明細!$C$4:$C$103,G$3)</f>
        <v>0</v>
      </c>
    </row>
    <row r="67" spans="1:7">
      <c r="A67" s="5">
        <v>46237</v>
      </c>
      <c r="B67" s="4" t="s">
        <v>19</v>
      </c>
      <c r="C67" s="3"/>
      <c r="D67" s="4">
        <f>COUNTIFS(請假明細!$D$4:$D$103,"&lt;="&amp;A67,請假明細!$E$4:$E$103,"&gt;="&amp;A67)</f>
        <v>0</v>
      </c>
      <c r="E67" s="4">
        <f>COUNTIFS(請假明細!$D$4:$D$103,"&lt;="&amp;A67,請假明細!$E$4:$E$103,"&gt;="&amp;A67,請假明細!$C$4:$C$103,E$3)</f>
        <v>0</v>
      </c>
      <c r="F67" s="4">
        <f>COUNTIFS(請假明細!$D$4:$D$103,"&lt;="&amp;B67,請假明細!$E$4:$E$103,"&gt;="&amp;B67,請假明細!$C$4:$C$103,F$3)</f>
        <v>0</v>
      </c>
      <c r="G67" s="4">
        <f>COUNTIFS(請假明細!$D$4:$D$103,"&lt;="&amp;C67,請假明細!$E$4:$E$103,"&gt;="&amp;C67,請假明細!$C$4:$C$103,G$3)</f>
        <v>0</v>
      </c>
    </row>
    <row r="68" spans="1:7">
      <c r="A68" s="5">
        <v>46238</v>
      </c>
      <c r="B68" s="4" t="s">
        <v>20</v>
      </c>
      <c r="C68" s="3"/>
      <c r="D68" s="4">
        <f>COUNTIFS(請假明細!$D$4:$D$103,"&lt;="&amp;A68,請假明細!$E$4:$E$103,"&gt;="&amp;A68)</f>
        <v>0</v>
      </c>
      <c r="E68" s="4">
        <f>COUNTIFS(請假明細!$D$4:$D$103,"&lt;="&amp;A68,請假明細!$E$4:$E$103,"&gt;="&amp;A68,請假明細!$C$4:$C$103,E$3)</f>
        <v>0</v>
      </c>
      <c r="F68" s="4">
        <f>COUNTIFS(請假明細!$D$4:$D$103,"&lt;="&amp;B68,請假明細!$E$4:$E$103,"&gt;="&amp;B68,請假明細!$C$4:$C$103,F$3)</f>
        <v>0</v>
      </c>
      <c r="G68" s="4">
        <f>COUNTIFS(請假明細!$D$4:$D$103,"&lt;="&amp;C68,請假明細!$E$4:$E$103,"&gt;="&amp;C68,請假明細!$C$4:$C$103,G$3)</f>
        <v>0</v>
      </c>
    </row>
    <row r="69" spans="1:7">
      <c r="A69" s="5">
        <v>46239</v>
      </c>
      <c r="B69" s="4" t="s">
        <v>21</v>
      </c>
      <c r="C69" s="3"/>
      <c r="D69" s="4">
        <f>COUNTIFS(請假明細!$D$4:$D$103,"&lt;="&amp;A69,請假明細!$E$4:$E$103,"&gt;="&amp;A69)</f>
        <v>0</v>
      </c>
      <c r="E69" s="4">
        <f>COUNTIFS(請假明細!$D$4:$D$103,"&lt;="&amp;A69,請假明細!$E$4:$E$103,"&gt;="&amp;A69,請假明細!$C$4:$C$103,E$3)</f>
        <v>0</v>
      </c>
      <c r="F69" s="4">
        <f>COUNTIFS(請假明細!$D$4:$D$103,"&lt;="&amp;B69,請假明細!$E$4:$E$103,"&gt;="&amp;B69,請假明細!$C$4:$C$103,F$3)</f>
        <v>0</v>
      </c>
      <c r="G69" s="4">
        <f>COUNTIFS(請假明細!$D$4:$D$103,"&lt;="&amp;C69,請假明細!$E$4:$E$103,"&gt;="&amp;C69,請假明細!$C$4:$C$103,G$3)</f>
        <v>0</v>
      </c>
    </row>
    <row r="70" spans="1:7">
      <c r="A70" s="5">
        <v>46240</v>
      </c>
      <c r="B70" s="4" t="s">
        <v>22</v>
      </c>
      <c r="C70" s="3"/>
      <c r="D70" s="4">
        <f>COUNTIFS(請假明細!$D$4:$D$103,"&lt;="&amp;A70,請假明細!$E$4:$E$103,"&gt;="&amp;A70)</f>
        <v>0</v>
      </c>
      <c r="E70" s="4">
        <f>COUNTIFS(請假明細!$D$4:$D$103,"&lt;="&amp;A70,請假明細!$E$4:$E$103,"&gt;="&amp;A70,請假明細!$C$4:$C$103,E$3)</f>
        <v>0</v>
      </c>
      <c r="F70" s="4">
        <f>COUNTIFS(請假明細!$D$4:$D$103,"&lt;="&amp;B70,請假明細!$E$4:$E$103,"&gt;="&amp;B70,請假明細!$C$4:$C$103,F$3)</f>
        <v>0</v>
      </c>
      <c r="G70" s="4">
        <f>COUNTIFS(請假明細!$D$4:$D$103,"&lt;="&amp;C70,請假明細!$E$4:$E$103,"&gt;="&amp;C70,請假明細!$C$4:$C$103,G$3)</f>
        <v>0</v>
      </c>
    </row>
    <row r="71" spans="1:7">
      <c r="A71" s="5">
        <v>46241</v>
      </c>
      <c r="B71" s="4" t="s">
        <v>23</v>
      </c>
      <c r="C71" s="3"/>
      <c r="D71" s="4">
        <f>COUNTIFS(請假明細!$D$4:$D$103,"&lt;="&amp;A71,請假明細!$E$4:$E$103,"&gt;="&amp;A71)</f>
        <v>0</v>
      </c>
      <c r="E71" s="4">
        <f>COUNTIFS(請假明細!$D$4:$D$103,"&lt;="&amp;A71,請假明細!$E$4:$E$103,"&gt;="&amp;A71,請假明細!$C$4:$C$103,E$3)</f>
        <v>0</v>
      </c>
      <c r="F71" s="4">
        <f>COUNTIFS(請假明細!$D$4:$D$103,"&lt;="&amp;B71,請假明細!$E$4:$E$103,"&gt;="&amp;B71,請假明細!$C$4:$C$103,F$3)</f>
        <v>0</v>
      </c>
      <c r="G71" s="4">
        <f>COUNTIFS(請假明細!$D$4:$D$103,"&lt;="&amp;C71,請假明細!$E$4:$E$103,"&gt;="&amp;C71,請假明細!$C$4:$C$103,G$3)</f>
        <v>0</v>
      </c>
    </row>
    <row r="72" spans="1:7">
      <c r="A72" s="5">
        <v>46242</v>
      </c>
      <c r="B72" s="4" t="s">
        <v>24</v>
      </c>
      <c r="C72" s="3"/>
      <c r="D72" s="4">
        <f>COUNTIFS(請假明細!$D$4:$D$103,"&lt;="&amp;A72,請假明細!$E$4:$E$103,"&gt;="&amp;A72)</f>
        <v>0</v>
      </c>
      <c r="E72" s="4">
        <f>COUNTIFS(請假明細!$D$4:$D$103,"&lt;="&amp;A72,請假明細!$E$4:$E$103,"&gt;="&amp;A72,請假明細!$C$4:$C$103,E$3)</f>
        <v>0</v>
      </c>
      <c r="F72" s="4">
        <f>COUNTIFS(請假明細!$D$4:$D$103,"&lt;="&amp;B72,請假明細!$E$4:$E$103,"&gt;="&amp;B72,請假明細!$C$4:$C$103,F$3)</f>
        <v>0</v>
      </c>
      <c r="G72" s="4">
        <f>COUNTIFS(請假明細!$D$4:$D$103,"&lt;="&amp;C72,請假明細!$E$4:$E$103,"&gt;="&amp;C72,請假明細!$C$4:$C$103,G$3)</f>
        <v>0</v>
      </c>
    </row>
    <row r="73" spans="1:7">
      <c r="A73" s="5">
        <v>46243</v>
      </c>
      <c r="B73" s="4" t="s">
        <v>25</v>
      </c>
      <c r="C73" s="3"/>
      <c r="D73" s="4">
        <f>COUNTIFS(請假明細!$D$4:$D$103,"&lt;="&amp;A73,請假明細!$E$4:$E$103,"&gt;="&amp;A73)</f>
        <v>0</v>
      </c>
      <c r="E73" s="4">
        <f>COUNTIFS(請假明細!$D$4:$D$103,"&lt;="&amp;A73,請假明細!$E$4:$E$103,"&gt;="&amp;A73,請假明細!$C$4:$C$103,E$3)</f>
        <v>0</v>
      </c>
      <c r="F73" s="4">
        <f>COUNTIFS(請假明細!$D$4:$D$103,"&lt;="&amp;B73,請假明細!$E$4:$E$103,"&gt;="&amp;B73,請假明細!$C$4:$C$103,F$3)</f>
        <v>0</v>
      </c>
      <c r="G73" s="4">
        <f>COUNTIFS(請假明細!$D$4:$D$103,"&lt;="&amp;C73,請假明細!$E$4:$E$103,"&gt;="&amp;C73,請假明細!$C$4:$C$103,G$3)</f>
        <v>0</v>
      </c>
    </row>
    <row r="74" spans="1:7">
      <c r="A74" s="5">
        <v>46244</v>
      </c>
      <c r="B74" s="4" t="s">
        <v>19</v>
      </c>
      <c r="C74" s="3"/>
      <c r="D74" s="4">
        <f>COUNTIFS(請假明細!$D$4:$D$103,"&lt;="&amp;A74,請假明細!$E$4:$E$103,"&gt;="&amp;A74)</f>
        <v>0</v>
      </c>
      <c r="E74" s="4">
        <f>COUNTIFS(請假明細!$D$4:$D$103,"&lt;="&amp;A74,請假明細!$E$4:$E$103,"&gt;="&amp;A74,請假明細!$C$4:$C$103,E$3)</f>
        <v>0</v>
      </c>
      <c r="F74" s="4">
        <f>COUNTIFS(請假明細!$D$4:$D$103,"&lt;="&amp;B74,請假明細!$E$4:$E$103,"&gt;="&amp;B74,請假明細!$C$4:$C$103,F$3)</f>
        <v>0</v>
      </c>
      <c r="G74" s="4">
        <f>COUNTIFS(請假明細!$D$4:$D$103,"&lt;="&amp;C74,請假明細!$E$4:$E$103,"&gt;="&amp;C74,請假明細!$C$4:$C$103,G$3)</f>
        <v>0</v>
      </c>
    </row>
    <row r="75" spans="1:7">
      <c r="A75" s="5">
        <v>46245</v>
      </c>
      <c r="B75" s="4" t="s">
        <v>20</v>
      </c>
      <c r="C75" s="3"/>
      <c r="D75" s="4">
        <f>COUNTIFS(請假明細!$D$4:$D$103,"&lt;="&amp;A75,請假明細!$E$4:$E$103,"&gt;="&amp;A75)</f>
        <v>0</v>
      </c>
      <c r="E75" s="4">
        <f>COUNTIFS(請假明細!$D$4:$D$103,"&lt;="&amp;A75,請假明細!$E$4:$E$103,"&gt;="&amp;A75,請假明細!$C$4:$C$103,E$3)</f>
        <v>0</v>
      </c>
      <c r="F75" s="4">
        <f>COUNTIFS(請假明細!$D$4:$D$103,"&lt;="&amp;B75,請假明細!$E$4:$E$103,"&gt;="&amp;B75,請假明細!$C$4:$C$103,F$3)</f>
        <v>0</v>
      </c>
      <c r="G75" s="4">
        <f>COUNTIFS(請假明細!$D$4:$D$103,"&lt;="&amp;C75,請假明細!$E$4:$E$103,"&gt;="&amp;C75,請假明細!$C$4:$C$103,G$3)</f>
        <v>0</v>
      </c>
    </row>
    <row r="76" spans="1:7">
      <c r="A76" s="5">
        <v>46246</v>
      </c>
      <c r="B76" s="4" t="s">
        <v>21</v>
      </c>
      <c r="C76" s="3"/>
      <c r="D76" s="4">
        <f>COUNTIFS(請假明細!$D$4:$D$103,"&lt;="&amp;A76,請假明細!$E$4:$E$103,"&gt;="&amp;A76)</f>
        <v>0</v>
      </c>
      <c r="E76" s="4">
        <f>COUNTIFS(請假明細!$D$4:$D$103,"&lt;="&amp;A76,請假明細!$E$4:$E$103,"&gt;="&amp;A76,請假明細!$C$4:$C$103,E$3)</f>
        <v>0</v>
      </c>
      <c r="F76" s="4">
        <f>COUNTIFS(請假明細!$D$4:$D$103,"&lt;="&amp;B76,請假明細!$E$4:$E$103,"&gt;="&amp;B76,請假明細!$C$4:$C$103,F$3)</f>
        <v>0</v>
      </c>
      <c r="G76" s="4">
        <f>COUNTIFS(請假明細!$D$4:$D$103,"&lt;="&amp;C76,請假明細!$E$4:$E$103,"&gt;="&amp;C76,請假明細!$C$4:$C$103,G$3)</f>
        <v>0</v>
      </c>
    </row>
    <row r="77" spans="1:7">
      <c r="A77" s="5">
        <v>46247</v>
      </c>
      <c r="B77" s="4" t="s">
        <v>22</v>
      </c>
      <c r="C77" s="3"/>
      <c r="D77" s="4">
        <f>COUNTIFS(請假明細!$D$4:$D$103,"&lt;="&amp;A77,請假明細!$E$4:$E$103,"&gt;="&amp;A77)</f>
        <v>0</v>
      </c>
      <c r="E77" s="4">
        <f>COUNTIFS(請假明細!$D$4:$D$103,"&lt;="&amp;A77,請假明細!$E$4:$E$103,"&gt;="&amp;A77,請假明細!$C$4:$C$103,E$3)</f>
        <v>0</v>
      </c>
      <c r="F77" s="4">
        <f>COUNTIFS(請假明細!$D$4:$D$103,"&lt;="&amp;B77,請假明細!$E$4:$E$103,"&gt;="&amp;B77,請假明細!$C$4:$C$103,F$3)</f>
        <v>0</v>
      </c>
      <c r="G77" s="4">
        <f>COUNTIFS(請假明細!$D$4:$D$103,"&lt;="&amp;C77,請假明細!$E$4:$E$103,"&gt;="&amp;C77,請假明細!$C$4:$C$103,G$3)</f>
        <v>0</v>
      </c>
    </row>
    <row r="78" spans="1:7">
      <c r="A78" s="5">
        <v>46248</v>
      </c>
      <c r="B78" s="4" t="s">
        <v>23</v>
      </c>
      <c r="C78" s="3"/>
      <c r="D78" s="4">
        <f>COUNTIFS(請假明細!$D$4:$D$103,"&lt;="&amp;A78,請假明細!$E$4:$E$103,"&gt;="&amp;A78)</f>
        <v>0</v>
      </c>
      <c r="E78" s="4">
        <f>COUNTIFS(請假明細!$D$4:$D$103,"&lt;="&amp;A78,請假明細!$E$4:$E$103,"&gt;="&amp;A78,請假明細!$C$4:$C$103,E$3)</f>
        <v>0</v>
      </c>
      <c r="F78" s="4">
        <f>COUNTIFS(請假明細!$D$4:$D$103,"&lt;="&amp;B78,請假明細!$E$4:$E$103,"&gt;="&amp;B78,請假明細!$C$4:$C$103,F$3)</f>
        <v>0</v>
      </c>
      <c r="G78" s="4">
        <f>COUNTIFS(請假明細!$D$4:$D$103,"&lt;="&amp;C78,請假明細!$E$4:$E$103,"&gt;="&amp;C78,請假明細!$C$4:$C$103,G$3)</f>
        <v>0</v>
      </c>
    </row>
    <row r="79" spans="1:7">
      <c r="A79" s="5">
        <v>46249</v>
      </c>
      <c r="B79" s="4" t="s">
        <v>24</v>
      </c>
      <c r="C79" s="3"/>
      <c r="D79" s="4">
        <f>COUNTIFS(請假明細!$D$4:$D$103,"&lt;="&amp;A79,請假明細!$E$4:$E$103,"&gt;="&amp;A79)</f>
        <v>0</v>
      </c>
      <c r="E79" s="4">
        <f>COUNTIFS(請假明細!$D$4:$D$103,"&lt;="&amp;A79,請假明細!$E$4:$E$103,"&gt;="&amp;A79,請假明細!$C$4:$C$103,E$3)</f>
        <v>0</v>
      </c>
      <c r="F79" s="4">
        <f>COUNTIFS(請假明細!$D$4:$D$103,"&lt;="&amp;B79,請假明細!$E$4:$E$103,"&gt;="&amp;B79,請假明細!$C$4:$C$103,F$3)</f>
        <v>0</v>
      </c>
      <c r="G79" s="4">
        <f>COUNTIFS(請假明細!$D$4:$D$103,"&lt;="&amp;C79,請假明細!$E$4:$E$103,"&gt;="&amp;C79,請假明細!$C$4:$C$103,G$3)</f>
        <v>0</v>
      </c>
    </row>
    <row r="80" spans="1:7">
      <c r="A80" s="5">
        <v>46250</v>
      </c>
      <c r="B80" s="4" t="s">
        <v>25</v>
      </c>
      <c r="C80" s="3"/>
      <c r="D80" s="4">
        <f>COUNTIFS(請假明細!$D$4:$D$103,"&lt;="&amp;A80,請假明細!$E$4:$E$103,"&gt;="&amp;A80)</f>
        <v>0</v>
      </c>
      <c r="E80" s="4">
        <f>COUNTIFS(請假明細!$D$4:$D$103,"&lt;="&amp;A80,請假明細!$E$4:$E$103,"&gt;="&amp;A80,請假明細!$C$4:$C$103,E$3)</f>
        <v>0</v>
      </c>
      <c r="F80" s="4">
        <f>COUNTIFS(請假明細!$D$4:$D$103,"&lt;="&amp;B80,請假明細!$E$4:$E$103,"&gt;="&amp;B80,請假明細!$C$4:$C$103,F$3)</f>
        <v>0</v>
      </c>
      <c r="G80" s="4">
        <f>COUNTIFS(請假明細!$D$4:$D$103,"&lt;="&amp;C80,請假明細!$E$4:$E$103,"&gt;="&amp;C80,請假明細!$C$4:$C$103,G$3)</f>
        <v>0</v>
      </c>
    </row>
    <row r="81" spans="1:7">
      <c r="A81" s="5">
        <v>46251</v>
      </c>
      <c r="B81" s="4" t="s">
        <v>19</v>
      </c>
      <c r="C81" s="3"/>
      <c r="D81" s="4">
        <f>COUNTIFS(請假明細!$D$4:$D$103,"&lt;="&amp;A81,請假明細!$E$4:$E$103,"&gt;="&amp;A81)</f>
        <v>0</v>
      </c>
      <c r="E81" s="4">
        <f>COUNTIFS(請假明細!$D$4:$D$103,"&lt;="&amp;A81,請假明細!$E$4:$E$103,"&gt;="&amp;A81,請假明細!$C$4:$C$103,E$3)</f>
        <v>0</v>
      </c>
      <c r="F81" s="4">
        <f>COUNTIFS(請假明細!$D$4:$D$103,"&lt;="&amp;B81,請假明細!$E$4:$E$103,"&gt;="&amp;B81,請假明細!$C$4:$C$103,F$3)</f>
        <v>0</v>
      </c>
      <c r="G81" s="4">
        <f>COUNTIFS(請假明細!$D$4:$D$103,"&lt;="&amp;C81,請假明細!$E$4:$E$103,"&gt;="&amp;C81,請假明細!$C$4:$C$103,G$3)</f>
        <v>0</v>
      </c>
    </row>
    <row r="82" spans="1:7">
      <c r="A82" s="5">
        <v>46252</v>
      </c>
      <c r="B82" s="4" t="s">
        <v>20</v>
      </c>
      <c r="C82" s="3"/>
      <c r="D82" s="4">
        <f>COUNTIFS(請假明細!$D$4:$D$103,"&lt;="&amp;A82,請假明細!$E$4:$E$103,"&gt;="&amp;A82)</f>
        <v>0</v>
      </c>
      <c r="E82" s="4">
        <f>COUNTIFS(請假明細!$D$4:$D$103,"&lt;="&amp;A82,請假明細!$E$4:$E$103,"&gt;="&amp;A82,請假明細!$C$4:$C$103,E$3)</f>
        <v>0</v>
      </c>
      <c r="F82" s="4">
        <f>COUNTIFS(請假明細!$D$4:$D$103,"&lt;="&amp;B82,請假明細!$E$4:$E$103,"&gt;="&amp;B82,請假明細!$C$4:$C$103,F$3)</f>
        <v>0</v>
      </c>
      <c r="G82" s="4">
        <f>COUNTIFS(請假明細!$D$4:$D$103,"&lt;="&amp;C82,請假明細!$E$4:$E$103,"&gt;="&amp;C82,請假明細!$C$4:$C$103,G$3)</f>
        <v>0</v>
      </c>
    </row>
    <row r="83" spans="1:7">
      <c r="A83" s="5">
        <v>46253</v>
      </c>
      <c r="B83" s="4" t="s">
        <v>21</v>
      </c>
      <c r="C83" s="3"/>
      <c r="D83" s="4">
        <f>COUNTIFS(請假明細!$D$4:$D$103,"&lt;="&amp;A83,請假明細!$E$4:$E$103,"&gt;="&amp;A83)</f>
        <v>0</v>
      </c>
      <c r="E83" s="4">
        <f>COUNTIFS(請假明細!$D$4:$D$103,"&lt;="&amp;A83,請假明細!$E$4:$E$103,"&gt;="&amp;A83,請假明細!$C$4:$C$103,E$3)</f>
        <v>0</v>
      </c>
      <c r="F83" s="4">
        <f>COUNTIFS(請假明細!$D$4:$D$103,"&lt;="&amp;B83,請假明細!$E$4:$E$103,"&gt;="&amp;B83,請假明細!$C$4:$C$103,F$3)</f>
        <v>0</v>
      </c>
      <c r="G83" s="4">
        <f>COUNTIFS(請假明細!$D$4:$D$103,"&lt;="&amp;C83,請假明細!$E$4:$E$103,"&gt;="&amp;C83,請假明細!$C$4:$C$103,G$3)</f>
        <v>0</v>
      </c>
    </row>
    <row r="84" spans="1:7">
      <c r="A84" s="5">
        <v>46254</v>
      </c>
      <c r="B84" s="4" t="s">
        <v>22</v>
      </c>
      <c r="C84" s="3"/>
      <c r="D84" s="4">
        <f>COUNTIFS(請假明細!$D$4:$D$103,"&lt;="&amp;A84,請假明細!$E$4:$E$103,"&gt;="&amp;A84)</f>
        <v>0</v>
      </c>
      <c r="E84" s="4">
        <f>COUNTIFS(請假明細!$D$4:$D$103,"&lt;="&amp;A84,請假明細!$E$4:$E$103,"&gt;="&amp;A84,請假明細!$C$4:$C$103,E$3)</f>
        <v>0</v>
      </c>
      <c r="F84" s="4">
        <f>COUNTIFS(請假明細!$D$4:$D$103,"&lt;="&amp;B84,請假明細!$E$4:$E$103,"&gt;="&amp;B84,請假明細!$C$4:$C$103,F$3)</f>
        <v>0</v>
      </c>
      <c r="G84" s="4">
        <f>COUNTIFS(請假明細!$D$4:$D$103,"&lt;="&amp;C84,請假明細!$E$4:$E$103,"&gt;="&amp;C84,請假明細!$C$4:$C$103,G$3)</f>
        <v>0</v>
      </c>
    </row>
    <row r="85" spans="1:7">
      <c r="A85" s="5">
        <v>46255</v>
      </c>
      <c r="B85" s="4" t="s">
        <v>23</v>
      </c>
      <c r="C85" s="3"/>
      <c r="D85" s="4">
        <f>COUNTIFS(請假明細!$D$4:$D$103,"&lt;="&amp;A85,請假明細!$E$4:$E$103,"&gt;="&amp;A85)</f>
        <v>0</v>
      </c>
      <c r="E85" s="4">
        <f>COUNTIFS(請假明細!$D$4:$D$103,"&lt;="&amp;A85,請假明細!$E$4:$E$103,"&gt;="&amp;A85,請假明細!$C$4:$C$103,E$3)</f>
        <v>0</v>
      </c>
      <c r="F85" s="4">
        <f>COUNTIFS(請假明細!$D$4:$D$103,"&lt;="&amp;B85,請假明細!$E$4:$E$103,"&gt;="&amp;B85,請假明細!$C$4:$C$103,F$3)</f>
        <v>0</v>
      </c>
      <c r="G85" s="4">
        <f>COUNTIFS(請假明細!$D$4:$D$103,"&lt;="&amp;C85,請假明細!$E$4:$E$103,"&gt;="&amp;C85,請假明細!$C$4:$C$103,G$3)</f>
        <v>0</v>
      </c>
    </row>
    <row r="86" spans="1:7">
      <c r="A86" s="5">
        <v>46256</v>
      </c>
      <c r="B86" s="4" t="s">
        <v>24</v>
      </c>
      <c r="C86" s="3"/>
      <c r="D86" s="4">
        <f>COUNTIFS(請假明細!$D$4:$D$103,"&lt;="&amp;A86,請假明細!$E$4:$E$103,"&gt;="&amp;A86)</f>
        <v>0</v>
      </c>
      <c r="E86" s="4">
        <f>COUNTIFS(請假明細!$D$4:$D$103,"&lt;="&amp;A86,請假明細!$E$4:$E$103,"&gt;="&amp;A86,請假明細!$C$4:$C$103,E$3)</f>
        <v>0</v>
      </c>
      <c r="F86" s="4">
        <f>COUNTIFS(請假明細!$D$4:$D$103,"&lt;="&amp;B86,請假明細!$E$4:$E$103,"&gt;="&amp;B86,請假明細!$C$4:$C$103,F$3)</f>
        <v>0</v>
      </c>
      <c r="G86" s="4">
        <f>COUNTIFS(請假明細!$D$4:$D$103,"&lt;="&amp;C86,請假明細!$E$4:$E$103,"&gt;="&amp;C86,請假明細!$C$4:$C$103,G$3)</f>
        <v>0</v>
      </c>
    </row>
    <row r="87" spans="1:7">
      <c r="A87" s="5">
        <v>46257</v>
      </c>
      <c r="B87" s="4" t="s">
        <v>25</v>
      </c>
      <c r="C87" s="3"/>
      <c r="D87" s="4">
        <f>COUNTIFS(請假明細!$D$4:$D$103,"&lt;="&amp;A87,請假明細!$E$4:$E$103,"&gt;="&amp;A87)</f>
        <v>0</v>
      </c>
      <c r="E87" s="4">
        <f>COUNTIFS(請假明細!$D$4:$D$103,"&lt;="&amp;A87,請假明細!$E$4:$E$103,"&gt;="&amp;A87,請假明細!$C$4:$C$103,E$3)</f>
        <v>0</v>
      </c>
      <c r="F87" s="4">
        <f>COUNTIFS(請假明細!$D$4:$D$103,"&lt;="&amp;B87,請假明細!$E$4:$E$103,"&gt;="&amp;B87,請假明細!$C$4:$C$103,F$3)</f>
        <v>0</v>
      </c>
      <c r="G87" s="4">
        <f>COUNTIFS(請假明細!$D$4:$D$103,"&lt;="&amp;C87,請假明細!$E$4:$E$103,"&gt;="&amp;C87,請假明細!$C$4:$C$103,G$3)</f>
        <v>0</v>
      </c>
    </row>
    <row r="88" spans="1:7">
      <c r="A88" s="5">
        <v>46258</v>
      </c>
      <c r="B88" s="4" t="s">
        <v>19</v>
      </c>
      <c r="C88" s="3"/>
      <c r="D88" s="4">
        <f>COUNTIFS(請假明細!$D$4:$D$103,"&lt;="&amp;A88,請假明細!$E$4:$E$103,"&gt;="&amp;A88)</f>
        <v>1</v>
      </c>
      <c r="E88" s="4">
        <f>COUNTIFS(請假明細!$D$4:$D$103,"&lt;="&amp;A88,請假明細!$E$4:$E$103,"&gt;="&amp;A88,請假明細!$C$4:$C$103,E$3)</f>
        <v>0</v>
      </c>
      <c r="F88" s="4">
        <f>COUNTIFS(請假明細!$D$4:$D$103,"&lt;="&amp;B88,請假明細!$E$4:$E$103,"&gt;="&amp;B88,請假明細!$C$4:$C$103,F$3)</f>
        <v>0</v>
      </c>
      <c r="G88" s="4">
        <f>COUNTIFS(請假明細!$D$4:$D$103,"&lt;="&amp;C88,請假明細!$E$4:$E$103,"&gt;="&amp;C88,請假明細!$C$4:$C$103,G$3)</f>
        <v>0</v>
      </c>
    </row>
    <row r="89" spans="1:7">
      <c r="A89" s="5">
        <v>46259</v>
      </c>
      <c r="B89" s="4" t="s">
        <v>20</v>
      </c>
      <c r="C89" s="3"/>
      <c r="D89" s="4">
        <f>COUNTIFS(請假明細!$D$4:$D$103,"&lt;="&amp;A89,請假明細!$E$4:$E$103,"&gt;="&amp;A89)</f>
        <v>1</v>
      </c>
      <c r="E89" s="4">
        <f>COUNTIFS(請假明細!$D$4:$D$103,"&lt;="&amp;A89,請假明細!$E$4:$E$103,"&gt;="&amp;A89,請假明細!$C$4:$C$103,E$3)</f>
        <v>0</v>
      </c>
      <c r="F89" s="4">
        <f>COUNTIFS(請假明細!$D$4:$D$103,"&lt;="&amp;B89,請假明細!$E$4:$E$103,"&gt;="&amp;B89,請假明細!$C$4:$C$103,F$3)</f>
        <v>0</v>
      </c>
      <c r="G89" s="4">
        <f>COUNTIFS(請假明細!$D$4:$D$103,"&lt;="&amp;C89,請假明細!$E$4:$E$103,"&gt;="&amp;C89,請假明細!$C$4:$C$103,G$3)</f>
        <v>0</v>
      </c>
    </row>
    <row r="90" spans="1:7">
      <c r="A90" s="5">
        <v>46260</v>
      </c>
      <c r="B90" s="4" t="s">
        <v>21</v>
      </c>
      <c r="C90" s="3"/>
      <c r="D90" s="4">
        <f>COUNTIFS(請假明細!$D$4:$D$103,"&lt;="&amp;A90,請假明細!$E$4:$E$103,"&gt;="&amp;A90)</f>
        <v>1</v>
      </c>
      <c r="E90" s="4">
        <f>COUNTIFS(請假明細!$D$4:$D$103,"&lt;="&amp;A90,請假明細!$E$4:$E$103,"&gt;="&amp;A90,請假明細!$C$4:$C$103,E$3)</f>
        <v>0</v>
      </c>
      <c r="F90" s="4">
        <f>COUNTIFS(請假明細!$D$4:$D$103,"&lt;="&amp;B90,請假明細!$E$4:$E$103,"&gt;="&amp;B90,請假明細!$C$4:$C$103,F$3)</f>
        <v>0</v>
      </c>
      <c r="G90" s="4">
        <f>COUNTIFS(請假明細!$D$4:$D$103,"&lt;="&amp;C90,請假明細!$E$4:$E$103,"&gt;="&amp;C90,請假明細!$C$4:$C$103,G$3)</f>
        <v>0</v>
      </c>
    </row>
    <row r="91" spans="1:7">
      <c r="A91" s="5">
        <v>46261</v>
      </c>
      <c r="B91" s="4" t="s">
        <v>22</v>
      </c>
      <c r="C91" s="3"/>
      <c r="D91" s="4">
        <f>COUNTIFS(請假明細!$D$4:$D$103,"&lt;="&amp;A91,請假明細!$E$4:$E$103,"&gt;="&amp;A91)</f>
        <v>1</v>
      </c>
      <c r="E91" s="4">
        <f>COUNTIFS(請假明細!$D$4:$D$103,"&lt;="&amp;A91,請假明細!$E$4:$E$103,"&gt;="&amp;A91,請假明細!$C$4:$C$103,E$3)</f>
        <v>0</v>
      </c>
      <c r="F91" s="4">
        <f>COUNTIFS(請假明細!$D$4:$D$103,"&lt;="&amp;B91,請假明細!$E$4:$E$103,"&gt;="&amp;B91,請假明細!$C$4:$C$103,F$3)</f>
        <v>0</v>
      </c>
      <c r="G91" s="4">
        <f>COUNTIFS(請假明細!$D$4:$D$103,"&lt;="&amp;C91,請假明細!$E$4:$E$103,"&gt;="&amp;C91,請假明細!$C$4:$C$103,G$3)</f>
        <v>0</v>
      </c>
    </row>
    <row r="92" spans="1:7">
      <c r="A92" s="5">
        <v>46262</v>
      </c>
      <c r="B92" s="4" t="s">
        <v>23</v>
      </c>
      <c r="C92" s="3"/>
      <c r="D92" s="4">
        <f>COUNTIFS(請假明細!$D$4:$D$103,"&lt;="&amp;A92,請假明細!$E$4:$E$103,"&gt;="&amp;A92)</f>
        <v>0</v>
      </c>
      <c r="E92" s="4">
        <f>COUNTIFS(請假明細!$D$4:$D$103,"&lt;="&amp;A92,請假明細!$E$4:$E$103,"&gt;="&amp;A92,請假明細!$C$4:$C$103,E$3)</f>
        <v>0</v>
      </c>
      <c r="F92" s="4">
        <f>COUNTIFS(請假明細!$D$4:$D$103,"&lt;="&amp;B92,請假明細!$E$4:$E$103,"&gt;="&amp;B92,請假明細!$C$4:$C$103,F$3)</f>
        <v>0</v>
      </c>
      <c r="G92" s="4">
        <f>COUNTIFS(請假明細!$D$4:$D$103,"&lt;="&amp;C92,請假明細!$E$4:$E$103,"&gt;="&amp;C92,請假明細!$C$4:$C$103,G$3)</f>
        <v>0</v>
      </c>
    </row>
    <row r="93" spans="1:7">
      <c r="A93" s="5">
        <v>46263</v>
      </c>
      <c r="B93" s="4" t="s">
        <v>24</v>
      </c>
      <c r="C93" s="3"/>
      <c r="D93" s="4">
        <f>COUNTIFS(請假明細!$D$4:$D$103,"&lt;="&amp;A93,請假明細!$E$4:$E$103,"&gt;="&amp;A93)</f>
        <v>0</v>
      </c>
      <c r="E93" s="4">
        <f>COUNTIFS(請假明細!$D$4:$D$103,"&lt;="&amp;A93,請假明細!$E$4:$E$103,"&gt;="&amp;A93,請假明細!$C$4:$C$103,E$3)</f>
        <v>0</v>
      </c>
      <c r="F93" s="4">
        <f>COUNTIFS(請假明細!$D$4:$D$103,"&lt;="&amp;B93,請假明細!$E$4:$E$103,"&gt;="&amp;B93,請假明細!$C$4:$C$103,F$3)</f>
        <v>0</v>
      </c>
      <c r="G93" s="4">
        <f>COUNTIFS(請假明細!$D$4:$D$103,"&lt;="&amp;C93,請假明細!$E$4:$E$103,"&gt;="&amp;C93,請假明細!$C$4:$C$103,G$3)</f>
        <v>0</v>
      </c>
    </row>
    <row r="94" spans="1:7">
      <c r="A94" s="5">
        <v>46264</v>
      </c>
      <c r="B94" s="4" t="s">
        <v>25</v>
      </c>
      <c r="C94" s="3"/>
      <c r="D94" s="4">
        <f>COUNTIFS(請假明細!$D$4:$D$103,"&lt;="&amp;A94,請假明細!$E$4:$E$103,"&gt;="&amp;A94)</f>
        <v>0</v>
      </c>
      <c r="E94" s="4">
        <f>COUNTIFS(請假明細!$D$4:$D$103,"&lt;="&amp;A94,請假明細!$E$4:$E$103,"&gt;="&amp;A94,請假明細!$C$4:$C$103,E$3)</f>
        <v>0</v>
      </c>
      <c r="F94" s="4">
        <f>COUNTIFS(請假明細!$D$4:$D$103,"&lt;="&amp;B94,請假明細!$E$4:$E$103,"&gt;="&amp;B94,請假明細!$C$4:$C$103,F$3)</f>
        <v>0</v>
      </c>
      <c r="G94" s="4">
        <f>COUNTIFS(請假明細!$D$4:$D$103,"&lt;="&amp;C94,請假明細!$E$4:$E$103,"&gt;="&amp;C94,請假明細!$C$4:$C$103,G$3)</f>
        <v>0</v>
      </c>
    </row>
    <row r="95" spans="1:7">
      <c r="A95" s="5">
        <v>46265</v>
      </c>
      <c r="B95" s="4" t="s">
        <v>19</v>
      </c>
      <c r="C95" s="3"/>
      <c r="D95" s="4">
        <f>COUNTIFS(請假明細!$D$4:$D$103,"&lt;="&amp;A95,請假明細!$E$4:$E$103,"&gt;="&amp;A95)</f>
        <v>0</v>
      </c>
      <c r="E95" s="4">
        <f>COUNTIFS(請假明細!$D$4:$D$103,"&lt;="&amp;A95,請假明細!$E$4:$E$103,"&gt;="&amp;A95,請假明細!$C$4:$C$103,E$3)</f>
        <v>0</v>
      </c>
      <c r="F95" s="4">
        <f>COUNTIFS(請假明細!$D$4:$D$103,"&lt;="&amp;B95,請假明細!$E$4:$E$103,"&gt;="&amp;B95,請假明細!$C$4:$C$103,F$3)</f>
        <v>0</v>
      </c>
      <c r="G95" s="4">
        <f>COUNTIFS(請假明細!$D$4:$D$103,"&lt;="&amp;C95,請假明細!$E$4:$E$103,"&gt;="&amp;C95,請假明細!$C$4:$C$103,G$3)</f>
        <v>0</v>
      </c>
    </row>
    <row r="96" spans="1:7">
      <c r="A96" s="5">
        <v>46266</v>
      </c>
      <c r="B96" s="4" t="s">
        <v>20</v>
      </c>
      <c r="C96" s="3"/>
      <c r="D96" s="4">
        <f>COUNTIFS(請假明細!$D$4:$D$103,"&lt;="&amp;A96,請假明細!$E$4:$E$103,"&gt;="&amp;A96)</f>
        <v>0</v>
      </c>
      <c r="E96" s="4">
        <f>COUNTIFS(請假明細!$D$4:$D$103,"&lt;="&amp;A96,請假明細!$E$4:$E$103,"&gt;="&amp;A96,請假明細!$C$4:$C$103,E$3)</f>
        <v>0</v>
      </c>
      <c r="F96" s="4">
        <f>COUNTIFS(請假明細!$D$4:$D$103,"&lt;="&amp;B96,請假明細!$E$4:$E$103,"&gt;="&amp;B96,請假明細!$C$4:$C$103,F$3)</f>
        <v>0</v>
      </c>
      <c r="G96" s="4">
        <f>COUNTIFS(請假明細!$D$4:$D$103,"&lt;="&amp;C96,請假明細!$E$4:$E$103,"&gt;="&amp;C96,請假明細!$C$4:$C$103,G$3)</f>
        <v>0</v>
      </c>
    </row>
    <row r="97" spans="1:7">
      <c r="A97" s="5">
        <v>46267</v>
      </c>
      <c r="B97" s="4" t="s">
        <v>21</v>
      </c>
      <c r="C97" s="3"/>
      <c r="D97" s="4">
        <f>COUNTIFS(請假明細!$D$4:$D$103,"&lt;="&amp;A97,請假明細!$E$4:$E$103,"&gt;="&amp;A97)</f>
        <v>0</v>
      </c>
      <c r="E97" s="4">
        <f>COUNTIFS(請假明細!$D$4:$D$103,"&lt;="&amp;A97,請假明細!$E$4:$E$103,"&gt;="&amp;A97,請假明細!$C$4:$C$103,E$3)</f>
        <v>0</v>
      </c>
      <c r="F97" s="4">
        <f>COUNTIFS(請假明細!$D$4:$D$103,"&lt;="&amp;B97,請假明細!$E$4:$E$103,"&gt;="&amp;B97,請假明細!$C$4:$C$103,F$3)</f>
        <v>0</v>
      </c>
      <c r="G97" s="4">
        <f>COUNTIFS(請假明細!$D$4:$D$103,"&lt;="&amp;C97,請假明細!$E$4:$E$103,"&gt;="&amp;C97,請假明細!$C$4:$C$103,G$3)</f>
        <v>0</v>
      </c>
    </row>
    <row r="98" spans="1:7">
      <c r="A98" s="5">
        <v>46268</v>
      </c>
      <c r="B98" s="4" t="s">
        <v>22</v>
      </c>
      <c r="C98" s="3"/>
      <c r="D98" s="4">
        <f>COUNTIFS(請假明細!$D$4:$D$103,"&lt;="&amp;A98,請假明細!$E$4:$E$103,"&gt;="&amp;A98)</f>
        <v>0</v>
      </c>
      <c r="E98" s="4">
        <f>COUNTIFS(請假明細!$D$4:$D$103,"&lt;="&amp;A98,請假明細!$E$4:$E$103,"&gt;="&amp;A98,請假明細!$C$4:$C$103,E$3)</f>
        <v>0</v>
      </c>
      <c r="F98" s="4">
        <f>COUNTIFS(請假明細!$D$4:$D$103,"&lt;="&amp;B98,請假明細!$E$4:$E$103,"&gt;="&amp;B98,請假明細!$C$4:$C$103,F$3)</f>
        <v>0</v>
      </c>
      <c r="G98" s="4">
        <f>COUNTIFS(請假明細!$D$4:$D$103,"&lt;="&amp;C98,請假明細!$E$4:$E$103,"&gt;="&amp;C98,請假明細!$C$4:$C$103,G$3)</f>
        <v>0</v>
      </c>
    </row>
    <row r="99" spans="1:7">
      <c r="A99" s="5">
        <v>46269</v>
      </c>
      <c r="B99" s="4" t="s">
        <v>23</v>
      </c>
      <c r="C99" s="3"/>
      <c r="D99" s="4">
        <f>COUNTIFS(請假明細!$D$4:$D$103,"&lt;="&amp;A99,請假明細!$E$4:$E$103,"&gt;="&amp;A99)</f>
        <v>0</v>
      </c>
      <c r="E99" s="4">
        <f>COUNTIFS(請假明細!$D$4:$D$103,"&lt;="&amp;A99,請假明細!$E$4:$E$103,"&gt;="&amp;A99,請假明細!$C$4:$C$103,E$3)</f>
        <v>0</v>
      </c>
      <c r="F99" s="4">
        <f>COUNTIFS(請假明細!$D$4:$D$103,"&lt;="&amp;B99,請假明細!$E$4:$E$103,"&gt;="&amp;B99,請假明細!$C$4:$C$103,F$3)</f>
        <v>0</v>
      </c>
      <c r="G99" s="4">
        <f>COUNTIFS(請假明細!$D$4:$D$103,"&lt;="&amp;C99,請假明細!$E$4:$E$103,"&gt;="&amp;C99,請假明細!$C$4:$C$103,G$3)</f>
        <v>0</v>
      </c>
    </row>
    <row r="100" spans="1:7">
      <c r="A100" s="5">
        <v>46270</v>
      </c>
      <c r="B100" s="4" t="s">
        <v>24</v>
      </c>
      <c r="C100" s="3"/>
      <c r="D100" s="4">
        <f>COUNTIFS(請假明細!$D$4:$D$103,"&lt;="&amp;A100,請假明細!$E$4:$E$103,"&gt;="&amp;A100)</f>
        <v>0</v>
      </c>
      <c r="E100" s="4">
        <f>COUNTIFS(請假明細!$D$4:$D$103,"&lt;="&amp;A100,請假明細!$E$4:$E$103,"&gt;="&amp;A100,請假明細!$C$4:$C$103,E$3)</f>
        <v>0</v>
      </c>
      <c r="F100" s="4">
        <f>COUNTIFS(請假明細!$D$4:$D$103,"&lt;="&amp;B100,請假明細!$E$4:$E$103,"&gt;="&amp;B100,請假明細!$C$4:$C$103,F$3)</f>
        <v>0</v>
      </c>
      <c r="G100" s="4">
        <f>COUNTIFS(請假明細!$D$4:$D$103,"&lt;="&amp;C100,請假明細!$E$4:$E$103,"&gt;="&amp;C100,請假明細!$C$4:$C$103,G$3)</f>
        <v>0</v>
      </c>
    </row>
    <row r="101" spans="1:7">
      <c r="A101" s="5">
        <v>46271</v>
      </c>
      <c r="B101" s="4" t="s">
        <v>25</v>
      </c>
      <c r="C101" s="3"/>
      <c r="D101" s="4">
        <f>COUNTIFS(請假明細!$D$4:$D$103,"&lt;="&amp;A101,請假明細!$E$4:$E$103,"&gt;="&amp;A101)</f>
        <v>0</v>
      </c>
      <c r="E101" s="4">
        <f>COUNTIFS(請假明細!$D$4:$D$103,"&lt;="&amp;A101,請假明細!$E$4:$E$103,"&gt;="&amp;A101,請假明細!$C$4:$C$103,E$3)</f>
        <v>0</v>
      </c>
      <c r="F101" s="4">
        <f>COUNTIFS(請假明細!$D$4:$D$103,"&lt;="&amp;B101,請假明細!$E$4:$E$103,"&gt;="&amp;B101,請假明細!$C$4:$C$103,F$3)</f>
        <v>0</v>
      </c>
      <c r="G101" s="4">
        <f>COUNTIFS(請假明細!$D$4:$D$103,"&lt;="&amp;C101,請假明細!$E$4:$E$103,"&gt;="&amp;C101,請假明細!$C$4:$C$103,G$3)</f>
        <v>0</v>
      </c>
    </row>
    <row r="102" spans="1:7">
      <c r="A102" s="5">
        <v>46272</v>
      </c>
      <c r="B102" s="4" t="s">
        <v>19</v>
      </c>
      <c r="C102" s="3"/>
      <c r="D102" s="4">
        <f>COUNTIFS(請假明細!$D$4:$D$103,"&lt;="&amp;A102,請假明細!$E$4:$E$103,"&gt;="&amp;A102)</f>
        <v>0</v>
      </c>
      <c r="E102" s="4">
        <f>COUNTIFS(請假明細!$D$4:$D$103,"&lt;="&amp;A102,請假明細!$E$4:$E$103,"&gt;="&amp;A102,請假明細!$C$4:$C$103,E$3)</f>
        <v>0</v>
      </c>
      <c r="F102" s="4">
        <f>COUNTIFS(請假明細!$D$4:$D$103,"&lt;="&amp;B102,請假明細!$E$4:$E$103,"&gt;="&amp;B102,請假明細!$C$4:$C$103,F$3)</f>
        <v>0</v>
      </c>
      <c r="G102" s="4">
        <f>COUNTIFS(請假明細!$D$4:$D$103,"&lt;="&amp;C102,請假明細!$E$4:$E$103,"&gt;="&amp;C102,請假明細!$C$4:$C$103,G$3)</f>
        <v>0</v>
      </c>
    </row>
    <row r="103" spans="1:7">
      <c r="A103" s="5">
        <v>46273</v>
      </c>
      <c r="B103" s="4" t="s">
        <v>20</v>
      </c>
      <c r="C103" s="3"/>
      <c r="D103" s="4">
        <f>COUNTIFS(請假明細!$D$4:$D$103,"&lt;="&amp;A103,請假明細!$E$4:$E$103,"&gt;="&amp;A103)</f>
        <v>0</v>
      </c>
      <c r="E103" s="4">
        <f>COUNTIFS(請假明細!$D$4:$D$103,"&lt;="&amp;A103,請假明細!$E$4:$E$103,"&gt;="&amp;A103,請假明細!$C$4:$C$103,E$3)</f>
        <v>0</v>
      </c>
      <c r="F103" s="4">
        <f>COUNTIFS(請假明細!$D$4:$D$103,"&lt;="&amp;B103,請假明細!$E$4:$E$103,"&gt;="&amp;B103,請假明細!$C$4:$C$103,F$3)</f>
        <v>0</v>
      </c>
      <c r="G103" s="4">
        <f>COUNTIFS(請假明細!$D$4:$D$103,"&lt;="&amp;C103,請假明細!$E$4:$E$103,"&gt;="&amp;C103,請假明細!$C$4:$C$103,G$3)</f>
        <v>0</v>
      </c>
    </row>
    <row r="104" spans="1:7">
      <c r="A104" s="5">
        <v>46274</v>
      </c>
      <c r="B104" s="4" t="s">
        <v>21</v>
      </c>
      <c r="C104" s="3"/>
      <c r="D104" s="4">
        <f>COUNTIFS(請假明細!$D$4:$D$103,"&lt;="&amp;A104,請假明細!$E$4:$E$103,"&gt;="&amp;A104)</f>
        <v>0</v>
      </c>
      <c r="E104" s="4">
        <f>COUNTIFS(請假明細!$D$4:$D$103,"&lt;="&amp;A104,請假明細!$E$4:$E$103,"&gt;="&amp;A104,請假明細!$C$4:$C$103,E$3)</f>
        <v>0</v>
      </c>
      <c r="F104" s="4">
        <f>COUNTIFS(請假明細!$D$4:$D$103,"&lt;="&amp;B104,請假明細!$E$4:$E$103,"&gt;="&amp;B104,請假明細!$C$4:$C$103,F$3)</f>
        <v>0</v>
      </c>
      <c r="G104" s="4">
        <f>COUNTIFS(請假明細!$D$4:$D$103,"&lt;="&amp;C104,請假明細!$E$4:$E$103,"&gt;="&amp;C104,請假明細!$C$4:$C$103,G$3)</f>
        <v>0</v>
      </c>
    </row>
    <row r="105" spans="1:7">
      <c r="A105" s="5">
        <v>46275</v>
      </c>
      <c r="B105" s="4" t="s">
        <v>22</v>
      </c>
      <c r="C105" s="3"/>
      <c r="D105" s="4">
        <f>COUNTIFS(請假明細!$D$4:$D$103,"&lt;="&amp;A105,請假明細!$E$4:$E$103,"&gt;="&amp;A105)</f>
        <v>0</v>
      </c>
      <c r="E105" s="4">
        <f>COUNTIFS(請假明細!$D$4:$D$103,"&lt;="&amp;A105,請假明細!$E$4:$E$103,"&gt;="&amp;A105,請假明細!$C$4:$C$103,E$3)</f>
        <v>0</v>
      </c>
      <c r="F105" s="4">
        <f>COUNTIFS(請假明細!$D$4:$D$103,"&lt;="&amp;B105,請假明細!$E$4:$E$103,"&gt;="&amp;B105,請假明細!$C$4:$C$103,F$3)</f>
        <v>0</v>
      </c>
      <c r="G105" s="4">
        <f>COUNTIFS(請假明細!$D$4:$D$103,"&lt;="&amp;C105,請假明細!$E$4:$E$103,"&gt;="&amp;C105,請假明細!$C$4:$C$103,G$3)</f>
        <v>0</v>
      </c>
    </row>
    <row r="106" spans="1:7">
      <c r="A106" s="5">
        <v>46276</v>
      </c>
      <c r="B106" s="4" t="s">
        <v>23</v>
      </c>
      <c r="C106" s="3"/>
      <c r="D106" s="4">
        <f>COUNTIFS(請假明細!$D$4:$D$103,"&lt;="&amp;A106,請假明細!$E$4:$E$103,"&gt;="&amp;A106)</f>
        <v>0</v>
      </c>
      <c r="E106" s="4">
        <f>COUNTIFS(請假明細!$D$4:$D$103,"&lt;="&amp;A106,請假明細!$E$4:$E$103,"&gt;="&amp;A106,請假明細!$C$4:$C$103,E$3)</f>
        <v>0</v>
      </c>
      <c r="F106" s="4">
        <f>COUNTIFS(請假明細!$D$4:$D$103,"&lt;="&amp;B106,請假明細!$E$4:$E$103,"&gt;="&amp;B106,請假明細!$C$4:$C$103,F$3)</f>
        <v>0</v>
      </c>
      <c r="G106" s="4">
        <f>COUNTIFS(請假明細!$D$4:$D$103,"&lt;="&amp;C106,請假明細!$E$4:$E$103,"&gt;="&amp;C106,請假明細!$C$4:$C$103,G$3)</f>
        <v>0</v>
      </c>
    </row>
    <row r="107" spans="1:7">
      <c r="A107" s="5">
        <v>46277</v>
      </c>
      <c r="B107" s="4" t="s">
        <v>24</v>
      </c>
      <c r="C107" s="3"/>
      <c r="D107" s="4">
        <f>COUNTIFS(請假明細!$D$4:$D$103,"&lt;="&amp;A107,請假明細!$E$4:$E$103,"&gt;="&amp;A107)</f>
        <v>0</v>
      </c>
      <c r="E107" s="4">
        <f>COUNTIFS(請假明細!$D$4:$D$103,"&lt;="&amp;A107,請假明細!$E$4:$E$103,"&gt;="&amp;A107,請假明細!$C$4:$C$103,E$3)</f>
        <v>0</v>
      </c>
      <c r="F107" s="4">
        <f>COUNTIFS(請假明細!$D$4:$D$103,"&lt;="&amp;B107,請假明細!$E$4:$E$103,"&gt;="&amp;B107,請假明細!$C$4:$C$103,F$3)</f>
        <v>0</v>
      </c>
      <c r="G107" s="4">
        <f>COUNTIFS(請假明細!$D$4:$D$103,"&lt;="&amp;C107,請假明細!$E$4:$E$103,"&gt;="&amp;C107,請假明細!$C$4:$C$103,G$3)</f>
        <v>0</v>
      </c>
    </row>
    <row r="108" spans="1:7">
      <c r="A108" s="5">
        <v>46278</v>
      </c>
      <c r="B108" s="4" t="s">
        <v>25</v>
      </c>
      <c r="C108" s="3"/>
      <c r="D108" s="4">
        <f>COUNTIFS(請假明細!$D$4:$D$103,"&lt;="&amp;A108,請假明細!$E$4:$E$103,"&gt;="&amp;A108)</f>
        <v>0</v>
      </c>
      <c r="E108" s="4">
        <f>COUNTIFS(請假明細!$D$4:$D$103,"&lt;="&amp;A108,請假明細!$E$4:$E$103,"&gt;="&amp;A108,請假明細!$C$4:$C$103,E$3)</f>
        <v>0</v>
      </c>
      <c r="F108" s="4">
        <f>COUNTIFS(請假明細!$D$4:$D$103,"&lt;="&amp;B108,請假明細!$E$4:$E$103,"&gt;="&amp;B108,請假明細!$C$4:$C$103,F$3)</f>
        <v>0</v>
      </c>
      <c r="G108" s="4">
        <f>COUNTIFS(請假明細!$D$4:$D$103,"&lt;="&amp;C108,請假明細!$E$4:$E$103,"&gt;="&amp;C108,請假明細!$C$4:$C$103,G$3)</f>
        <v>0</v>
      </c>
    </row>
    <row r="109" spans="1:7">
      <c r="A109" s="5">
        <v>46279</v>
      </c>
      <c r="B109" s="4" t="s">
        <v>19</v>
      </c>
      <c r="C109" s="3"/>
      <c r="D109" s="4">
        <f>COUNTIFS(請假明細!$D$4:$D$103,"&lt;="&amp;A109,請假明細!$E$4:$E$103,"&gt;="&amp;A109)</f>
        <v>0</v>
      </c>
      <c r="E109" s="4">
        <f>COUNTIFS(請假明細!$D$4:$D$103,"&lt;="&amp;A109,請假明細!$E$4:$E$103,"&gt;="&amp;A109,請假明細!$C$4:$C$103,E$3)</f>
        <v>0</v>
      </c>
      <c r="F109" s="4">
        <f>COUNTIFS(請假明細!$D$4:$D$103,"&lt;="&amp;B109,請假明細!$E$4:$E$103,"&gt;="&amp;B109,請假明細!$C$4:$C$103,F$3)</f>
        <v>0</v>
      </c>
      <c r="G109" s="4">
        <f>COUNTIFS(請假明細!$D$4:$D$103,"&lt;="&amp;C109,請假明細!$E$4:$E$103,"&gt;="&amp;C109,請假明細!$C$4:$C$103,G$3)</f>
        <v>0</v>
      </c>
    </row>
    <row r="110" spans="1:7">
      <c r="A110" s="5">
        <v>46280</v>
      </c>
      <c r="B110" s="4" t="s">
        <v>20</v>
      </c>
      <c r="C110" s="3"/>
      <c r="D110" s="4">
        <f>COUNTIFS(請假明細!$D$4:$D$103,"&lt;="&amp;A110,請假明細!$E$4:$E$103,"&gt;="&amp;A110)</f>
        <v>0</v>
      </c>
      <c r="E110" s="4">
        <f>COUNTIFS(請假明細!$D$4:$D$103,"&lt;="&amp;A110,請假明細!$E$4:$E$103,"&gt;="&amp;A110,請假明細!$C$4:$C$103,E$3)</f>
        <v>0</v>
      </c>
      <c r="F110" s="4">
        <f>COUNTIFS(請假明細!$D$4:$D$103,"&lt;="&amp;B110,請假明細!$E$4:$E$103,"&gt;="&amp;B110,請假明細!$C$4:$C$103,F$3)</f>
        <v>0</v>
      </c>
      <c r="G110" s="4">
        <f>COUNTIFS(請假明細!$D$4:$D$103,"&lt;="&amp;C110,請假明細!$E$4:$E$103,"&gt;="&amp;C110,請假明細!$C$4:$C$103,G$3)</f>
        <v>0</v>
      </c>
    </row>
    <row r="111" spans="1:7">
      <c r="A111" s="5">
        <v>46281</v>
      </c>
      <c r="B111" s="4" t="s">
        <v>21</v>
      </c>
      <c r="C111" s="3"/>
      <c r="D111" s="4">
        <f>COUNTIFS(請假明細!$D$4:$D$103,"&lt;="&amp;A111,請假明細!$E$4:$E$103,"&gt;="&amp;A111)</f>
        <v>0</v>
      </c>
      <c r="E111" s="4">
        <f>COUNTIFS(請假明細!$D$4:$D$103,"&lt;="&amp;A111,請假明細!$E$4:$E$103,"&gt;="&amp;A111,請假明細!$C$4:$C$103,E$3)</f>
        <v>0</v>
      </c>
      <c r="F111" s="4">
        <f>COUNTIFS(請假明細!$D$4:$D$103,"&lt;="&amp;B111,請假明細!$E$4:$E$103,"&gt;="&amp;B111,請假明細!$C$4:$C$103,F$3)</f>
        <v>0</v>
      </c>
      <c r="G111" s="4">
        <f>COUNTIFS(請假明細!$D$4:$D$103,"&lt;="&amp;C111,請假明細!$E$4:$E$103,"&gt;="&amp;C111,請假明細!$C$4:$C$103,G$3)</f>
        <v>0</v>
      </c>
    </row>
    <row r="112" spans="1:7">
      <c r="A112" s="5">
        <v>46282</v>
      </c>
      <c r="B112" s="4" t="s">
        <v>22</v>
      </c>
      <c r="C112" s="3"/>
      <c r="D112" s="4">
        <f>COUNTIFS(請假明細!$D$4:$D$103,"&lt;="&amp;A112,請假明細!$E$4:$E$103,"&gt;="&amp;A112)</f>
        <v>0</v>
      </c>
      <c r="E112" s="4">
        <f>COUNTIFS(請假明細!$D$4:$D$103,"&lt;="&amp;A112,請假明細!$E$4:$E$103,"&gt;="&amp;A112,請假明細!$C$4:$C$103,E$3)</f>
        <v>0</v>
      </c>
      <c r="F112" s="4">
        <f>COUNTIFS(請假明細!$D$4:$D$103,"&lt;="&amp;B112,請假明細!$E$4:$E$103,"&gt;="&amp;B112,請假明細!$C$4:$C$103,F$3)</f>
        <v>0</v>
      </c>
      <c r="G112" s="4">
        <f>COUNTIFS(請假明細!$D$4:$D$103,"&lt;="&amp;C112,請假明細!$E$4:$E$103,"&gt;="&amp;C112,請假明細!$C$4:$C$103,G$3)</f>
        <v>0</v>
      </c>
    </row>
    <row r="113" spans="1:7">
      <c r="A113" s="5">
        <v>46283</v>
      </c>
      <c r="B113" s="4" t="s">
        <v>23</v>
      </c>
      <c r="C113" s="3"/>
      <c r="D113" s="4">
        <f>COUNTIFS(請假明細!$D$4:$D$103,"&lt;="&amp;A113,請假明細!$E$4:$E$103,"&gt;="&amp;A113)</f>
        <v>0</v>
      </c>
      <c r="E113" s="4">
        <f>COUNTIFS(請假明細!$D$4:$D$103,"&lt;="&amp;A113,請假明細!$E$4:$E$103,"&gt;="&amp;A113,請假明細!$C$4:$C$103,E$3)</f>
        <v>0</v>
      </c>
      <c r="F113" s="4">
        <f>COUNTIFS(請假明細!$D$4:$D$103,"&lt;="&amp;B113,請假明細!$E$4:$E$103,"&gt;="&amp;B113,請假明細!$C$4:$C$103,F$3)</f>
        <v>0</v>
      </c>
      <c r="G113" s="4">
        <f>COUNTIFS(請假明細!$D$4:$D$103,"&lt;="&amp;C113,請假明細!$E$4:$E$103,"&gt;="&amp;C113,請假明細!$C$4:$C$103,G$3)</f>
        <v>0</v>
      </c>
    </row>
    <row r="114" spans="1:7">
      <c r="A114" s="5">
        <v>46284</v>
      </c>
      <c r="B114" s="4" t="s">
        <v>24</v>
      </c>
      <c r="C114" s="3"/>
      <c r="D114" s="4">
        <f>COUNTIFS(請假明細!$D$4:$D$103,"&lt;="&amp;A114,請假明細!$E$4:$E$103,"&gt;="&amp;A114)</f>
        <v>0</v>
      </c>
      <c r="E114" s="4">
        <f>COUNTIFS(請假明細!$D$4:$D$103,"&lt;="&amp;A114,請假明細!$E$4:$E$103,"&gt;="&amp;A114,請假明細!$C$4:$C$103,E$3)</f>
        <v>0</v>
      </c>
      <c r="F114" s="4">
        <f>COUNTIFS(請假明細!$D$4:$D$103,"&lt;="&amp;B114,請假明細!$E$4:$E$103,"&gt;="&amp;B114,請假明細!$C$4:$C$103,F$3)</f>
        <v>0</v>
      </c>
      <c r="G114" s="4">
        <f>COUNTIFS(請假明細!$D$4:$D$103,"&lt;="&amp;C114,請假明細!$E$4:$E$103,"&gt;="&amp;C114,請假明細!$C$4:$C$103,G$3)</f>
        <v>0</v>
      </c>
    </row>
    <row r="115" spans="1:7">
      <c r="A115" s="5">
        <v>46285</v>
      </c>
      <c r="B115" s="4" t="s">
        <v>25</v>
      </c>
      <c r="C115" s="3"/>
      <c r="D115" s="4">
        <f>COUNTIFS(請假明細!$D$4:$D$103,"&lt;="&amp;A115,請假明細!$E$4:$E$103,"&gt;="&amp;A115)</f>
        <v>0</v>
      </c>
      <c r="E115" s="4">
        <f>COUNTIFS(請假明細!$D$4:$D$103,"&lt;="&amp;A115,請假明細!$E$4:$E$103,"&gt;="&amp;A115,請假明細!$C$4:$C$103,E$3)</f>
        <v>0</v>
      </c>
      <c r="F115" s="4">
        <f>COUNTIFS(請假明細!$D$4:$D$103,"&lt;="&amp;B115,請假明細!$E$4:$E$103,"&gt;="&amp;B115,請假明細!$C$4:$C$103,F$3)</f>
        <v>0</v>
      </c>
      <c r="G115" s="4">
        <f>COUNTIFS(請假明細!$D$4:$D$103,"&lt;="&amp;C115,請假明細!$E$4:$E$103,"&gt;="&amp;C115,請假明細!$C$4:$C$103,G$3)</f>
        <v>0</v>
      </c>
    </row>
    <row r="116" spans="1:7">
      <c r="A116" s="5">
        <v>46286</v>
      </c>
      <c r="B116" s="4" t="s">
        <v>19</v>
      </c>
      <c r="C116" s="3"/>
      <c r="D116" s="4">
        <f>COUNTIFS(請假明細!$D$4:$D$103,"&lt;="&amp;A116,請假明細!$E$4:$E$103,"&gt;="&amp;A116)</f>
        <v>0</v>
      </c>
      <c r="E116" s="4">
        <f>COUNTIFS(請假明細!$D$4:$D$103,"&lt;="&amp;A116,請假明細!$E$4:$E$103,"&gt;="&amp;A116,請假明細!$C$4:$C$103,E$3)</f>
        <v>0</v>
      </c>
      <c r="F116" s="4">
        <f>COUNTIFS(請假明細!$D$4:$D$103,"&lt;="&amp;B116,請假明細!$E$4:$E$103,"&gt;="&amp;B116,請假明細!$C$4:$C$103,F$3)</f>
        <v>0</v>
      </c>
      <c r="G116" s="4">
        <f>COUNTIFS(請假明細!$D$4:$D$103,"&lt;="&amp;C116,請假明細!$E$4:$E$103,"&gt;="&amp;C116,請假明細!$C$4:$C$103,G$3)</f>
        <v>0</v>
      </c>
    </row>
    <row r="117" spans="1:7">
      <c r="A117" s="5">
        <v>46287</v>
      </c>
      <c r="B117" s="4" t="s">
        <v>20</v>
      </c>
      <c r="C117" s="3"/>
      <c r="D117" s="4">
        <f>COUNTIFS(請假明細!$D$4:$D$103,"&lt;="&amp;A117,請假明細!$E$4:$E$103,"&gt;="&amp;A117)</f>
        <v>0</v>
      </c>
      <c r="E117" s="4">
        <f>COUNTIFS(請假明細!$D$4:$D$103,"&lt;="&amp;A117,請假明細!$E$4:$E$103,"&gt;="&amp;A117,請假明細!$C$4:$C$103,E$3)</f>
        <v>0</v>
      </c>
      <c r="F117" s="4">
        <f>COUNTIFS(請假明細!$D$4:$D$103,"&lt;="&amp;B117,請假明細!$E$4:$E$103,"&gt;="&amp;B117,請假明細!$C$4:$C$103,F$3)</f>
        <v>0</v>
      </c>
      <c r="G117" s="4">
        <f>COUNTIFS(請假明細!$D$4:$D$103,"&lt;="&amp;C117,請假明細!$E$4:$E$103,"&gt;="&amp;C117,請假明細!$C$4:$C$103,G$3)</f>
        <v>0</v>
      </c>
    </row>
    <row r="118" spans="1:7">
      <c r="A118" s="5">
        <v>46288</v>
      </c>
      <c r="B118" s="4" t="s">
        <v>21</v>
      </c>
      <c r="C118" s="3"/>
      <c r="D118" s="4">
        <f>COUNTIFS(請假明細!$D$4:$D$103,"&lt;="&amp;A118,請假明細!$E$4:$E$103,"&gt;="&amp;A118)</f>
        <v>0</v>
      </c>
      <c r="E118" s="4">
        <f>COUNTIFS(請假明細!$D$4:$D$103,"&lt;="&amp;A118,請假明細!$E$4:$E$103,"&gt;="&amp;A118,請假明細!$C$4:$C$103,E$3)</f>
        <v>0</v>
      </c>
      <c r="F118" s="4">
        <f>COUNTIFS(請假明細!$D$4:$D$103,"&lt;="&amp;B118,請假明細!$E$4:$E$103,"&gt;="&amp;B118,請假明細!$C$4:$C$103,F$3)</f>
        <v>0</v>
      </c>
      <c r="G118" s="4">
        <f>COUNTIFS(請假明細!$D$4:$D$103,"&lt;="&amp;C118,請假明細!$E$4:$E$103,"&gt;="&amp;C118,請假明細!$C$4:$C$103,G$3)</f>
        <v>0</v>
      </c>
    </row>
    <row r="119" spans="1:7">
      <c r="A119" s="5">
        <v>46289</v>
      </c>
      <c r="B119" s="4" t="s">
        <v>22</v>
      </c>
      <c r="C119" s="3"/>
      <c r="D119" s="4">
        <f>COUNTIFS(請假明細!$D$4:$D$103,"&lt;="&amp;A119,請假明細!$E$4:$E$103,"&gt;="&amp;A119)</f>
        <v>0</v>
      </c>
      <c r="E119" s="4">
        <f>COUNTIFS(請假明細!$D$4:$D$103,"&lt;="&amp;A119,請假明細!$E$4:$E$103,"&gt;="&amp;A119,請假明細!$C$4:$C$103,E$3)</f>
        <v>0</v>
      </c>
      <c r="F119" s="4">
        <f>COUNTIFS(請假明細!$D$4:$D$103,"&lt;="&amp;B119,請假明細!$E$4:$E$103,"&gt;="&amp;B119,請假明細!$C$4:$C$103,F$3)</f>
        <v>0</v>
      </c>
      <c r="G119" s="4">
        <f>COUNTIFS(請假明細!$D$4:$D$103,"&lt;="&amp;C119,請假明細!$E$4:$E$103,"&gt;="&amp;C119,請假明細!$C$4:$C$103,G$3)</f>
        <v>0</v>
      </c>
    </row>
    <row r="120" spans="1:7">
      <c r="A120" s="5">
        <v>46290</v>
      </c>
      <c r="B120" s="4" t="s">
        <v>23</v>
      </c>
      <c r="C120" s="3"/>
      <c r="D120" s="4">
        <f>COUNTIFS(請假明細!$D$4:$D$103,"&lt;="&amp;A120,請假明細!$E$4:$E$103,"&gt;="&amp;A120)</f>
        <v>0</v>
      </c>
      <c r="E120" s="4">
        <f>COUNTIFS(請假明細!$D$4:$D$103,"&lt;="&amp;A120,請假明細!$E$4:$E$103,"&gt;="&amp;A120,請假明細!$C$4:$C$103,E$3)</f>
        <v>0</v>
      </c>
      <c r="F120" s="4">
        <f>COUNTIFS(請假明細!$D$4:$D$103,"&lt;="&amp;B120,請假明細!$E$4:$E$103,"&gt;="&amp;B120,請假明細!$C$4:$C$103,F$3)</f>
        <v>0</v>
      </c>
      <c r="G120" s="4">
        <f>COUNTIFS(請假明細!$D$4:$D$103,"&lt;="&amp;C120,請假明細!$E$4:$E$103,"&gt;="&amp;C120,請假明細!$C$4:$C$103,G$3)</f>
        <v>0</v>
      </c>
    </row>
    <row r="121" spans="1:7">
      <c r="A121" s="5">
        <v>46291</v>
      </c>
      <c r="B121" s="4" t="s">
        <v>24</v>
      </c>
      <c r="C121" s="3"/>
      <c r="D121" s="4">
        <f>COUNTIFS(請假明細!$D$4:$D$103,"&lt;="&amp;A121,請假明細!$E$4:$E$103,"&gt;="&amp;A121)</f>
        <v>0</v>
      </c>
      <c r="E121" s="4">
        <f>COUNTIFS(請假明細!$D$4:$D$103,"&lt;="&amp;A121,請假明細!$E$4:$E$103,"&gt;="&amp;A121,請假明細!$C$4:$C$103,E$3)</f>
        <v>0</v>
      </c>
      <c r="F121" s="4">
        <f>COUNTIFS(請假明細!$D$4:$D$103,"&lt;="&amp;B121,請假明細!$E$4:$E$103,"&gt;="&amp;B121,請假明細!$C$4:$C$103,F$3)</f>
        <v>0</v>
      </c>
      <c r="G121" s="4">
        <f>COUNTIFS(請假明細!$D$4:$D$103,"&lt;="&amp;C121,請假明細!$E$4:$E$103,"&gt;="&amp;C121,請假明細!$C$4:$C$103,G$3)</f>
        <v>0</v>
      </c>
    </row>
    <row r="122" spans="1:7">
      <c r="A122" s="5">
        <v>46292</v>
      </c>
      <c r="B122" s="4" t="s">
        <v>25</v>
      </c>
      <c r="C122" s="3"/>
      <c r="D122" s="4">
        <f>COUNTIFS(請假明細!$D$4:$D$103,"&lt;="&amp;A122,請假明細!$E$4:$E$103,"&gt;="&amp;A122)</f>
        <v>0</v>
      </c>
      <c r="E122" s="4">
        <f>COUNTIFS(請假明細!$D$4:$D$103,"&lt;="&amp;A122,請假明細!$E$4:$E$103,"&gt;="&amp;A122,請假明細!$C$4:$C$103,E$3)</f>
        <v>0</v>
      </c>
      <c r="F122" s="4">
        <f>COUNTIFS(請假明細!$D$4:$D$103,"&lt;="&amp;B122,請假明細!$E$4:$E$103,"&gt;="&amp;B122,請假明細!$C$4:$C$103,F$3)</f>
        <v>0</v>
      </c>
      <c r="G122" s="4">
        <f>COUNTIFS(請假明細!$D$4:$D$103,"&lt;="&amp;C122,請假明細!$E$4:$E$103,"&gt;="&amp;C122,請假明細!$C$4:$C$103,G$3)</f>
        <v>0</v>
      </c>
    </row>
    <row r="123" spans="1:7">
      <c r="A123" s="5">
        <v>46293</v>
      </c>
      <c r="B123" s="4" t="s">
        <v>19</v>
      </c>
      <c r="C123" s="3"/>
      <c r="D123" s="4">
        <f>COUNTIFS(請假明細!$D$4:$D$103,"&lt;="&amp;A123,請假明細!$E$4:$E$103,"&gt;="&amp;A123)</f>
        <v>0</v>
      </c>
      <c r="E123" s="4">
        <f>COUNTIFS(請假明細!$D$4:$D$103,"&lt;="&amp;A123,請假明細!$E$4:$E$103,"&gt;="&amp;A123,請假明細!$C$4:$C$103,E$3)</f>
        <v>0</v>
      </c>
      <c r="F123" s="4">
        <f>COUNTIFS(請假明細!$D$4:$D$103,"&lt;="&amp;B123,請假明細!$E$4:$E$103,"&gt;="&amp;B123,請假明細!$C$4:$C$103,F$3)</f>
        <v>0</v>
      </c>
      <c r="G123" s="4">
        <f>COUNTIFS(請假明細!$D$4:$D$103,"&lt;="&amp;C123,請假明細!$E$4:$E$103,"&gt;="&amp;C123,請假明細!$C$4:$C$103,G$3)</f>
        <v>0</v>
      </c>
    </row>
    <row r="124" spans="1:7">
      <c r="A124" s="5">
        <v>46294</v>
      </c>
      <c r="B124" s="4" t="s">
        <v>20</v>
      </c>
      <c r="C124" s="3"/>
      <c r="D124" s="4">
        <f>COUNTIFS(請假明細!$D$4:$D$103,"&lt;="&amp;A124,請假明細!$E$4:$E$103,"&gt;="&amp;A124)</f>
        <v>0</v>
      </c>
      <c r="E124" s="4">
        <f>COUNTIFS(請假明細!$D$4:$D$103,"&lt;="&amp;A124,請假明細!$E$4:$E$103,"&gt;="&amp;A124,請假明細!$C$4:$C$103,E$3)</f>
        <v>0</v>
      </c>
      <c r="F124" s="4">
        <f>COUNTIFS(請假明細!$D$4:$D$103,"&lt;="&amp;B124,請假明細!$E$4:$E$103,"&gt;="&amp;B124,請假明細!$C$4:$C$103,F$3)</f>
        <v>0</v>
      </c>
      <c r="G124" s="4">
        <f>COUNTIFS(請假明細!$D$4:$D$103,"&lt;="&amp;C124,請假明細!$E$4:$E$103,"&gt;="&amp;C124,請假明細!$C$4:$C$103,G$3)</f>
        <v>0</v>
      </c>
    </row>
    <row r="125" spans="1:7">
      <c r="A125" s="5">
        <v>46295</v>
      </c>
      <c r="B125" s="4" t="s">
        <v>21</v>
      </c>
      <c r="C125" s="3"/>
      <c r="D125" s="4">
        <f>COUNTIFS(請假明細!$D$4:$D$103,"&lt;="&amp;A125,請假明細!$E$4:$E$103,"&gt;="&amp;A125)</f>
        <v>0</v>
      </c>
      <c r="E125" s="4">
        <f>COUNTIFS(請假明細!$D$4:$D$103,"&lt;="&amp;A125,請假明細!$E$4:$E$103,"&gt;="&amp;A125,請假明細!$C$4:$C$103,E$3)</f>
        <v>0</v>
      </c>
      <c r="F125" s="4">
        <f>COUNTIFS(請假明細!$D$4:$D$103,"&lt;="&amp;B125,請假明細!$E$4:$E$103,"&gt;="&amp;B125,請假明細!$C$4:$C$103,F$3)</f>
        <v>0</v>
      </c>
      <c r="G125" s="4">
        <f>COUNTIFS(請假明細!$D$4:$D$103,"&lt;="&amp;C125,請假明細!$E$4:$E$103,"&gt;="&amp;C125,請假明細!$C$4:$C$103,G$3)</f>
        <v>0</v>
      </c>
    </row>
  </sheetData>
  <mergeCells count="1">
    <mergeCell ref="A1:G1"/>
  </mergeCells>
  <phoneticPr fontId="4" type="noConversion"/>
  <conditionalFormatting sqref="D4:D125">
    <cfRule type="cellIs" dxfId="1" priority="1" operator="greaterThan">
      <formula>0</formula>
    </cfRule>
    <cfRule type="cellIs" dxfId="0" priority="2" operator="greaterThanOrEqual">
      <formula>3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activeCell="D25" sqref="D25"/>
    </sheetView>
  </sheetViews>
  <sheetFormatPr defaultRowHeight="13.8"/>
  <cols>
    <col min="1" max="1" width="20" customWidth="1"/>
    <col min="2" max="2" width="12" customWidth="1"/>
    <col min="3" max="3" width="4" customWidth="1"/>
    <col min="4" max="8" width="12" customWidth="1"/>
  </cols>
  <sheetData>
    <row r="1" spans="1:8" ht="27.9" customHeight="1">
      <c r="A1" s="11" t="s">
        <v>26</v>
      </c>
      <c r="B1" s="12"/>
      <c r="C1" s="12"/>
      <c r="D1" s="12"/>
      <c r="E1" s="12"/>
      <c r="F1" s="12"/>
      <c r="G1" s="12"/>
      <c r="H1" s="12"/>
    </row>
    <row r="3" spans="1:8">
      <c r="A3" s="2" t="s">
        <v>27</v>
      </c>
      <c r="B3" s="2" t="s">
        <v>28</v>
      </c>
      <c r="D3" s="2" t="s">
        <v>3</v>
      </c>
      <c r="E3" s="2" t="s">
        <v>29</v>
      </c>
      <c r="F3" s="2" t="s">
        <v>30</v>
      </c>
      <c r="G3" s="2" t="s">
        <v>31</v>
      </c>
      <c r="H3" s="2" t="s">
        <v>32</v>
      </c>
    </row>
    <row r="4" spans="1:8">
      <c r="A4" s="8" t="s">
        <v>33</v>
      </c>
      <c r="B4" s="4">
        <f>COUNTIF(請假明細!$B$4:$B$103,"?*")</f>
        <v>8</v>
      </c>
      <c r="D4" s="9" t="s">
        <v>16</v>
      </c>
      <c r="E4" s="4">
        <f>COUNTIFS(請假明細!$C$4:$C$103,$D4,請假明細!$D$4:$D$103,"&lt;="&amp;DATE(2026,6,30),請假明細!$E$4:$E$103,"&gt;="&amp;DATE(2026,6,1))</f>
        <v>0</v>
      </c>
      <c r="F4" s="4">
        <f>COUNTIFS(請假明細!$C$4:$C$103,$D4,請假明細!$D$4:$D$103,"&lt;="&amp;DATE(2026,7,31),請假明細!$E$4:$E$103,"&gt;="&amp;DATE(2026,7,1))</f>
        <v>0</v>
      </c>
      <c r="G4" s="4">
        <f>COUNTIFS(請假明細!$C$4:$C$103,$D4,請假明細!$D$4:$D$103,"&lt;="&amp;DATE(2026,8,31),請假明細!$E$4:$E$103,"&gt;="&amp;DATE(2026,8,1))</f>
        <v>0</v>
      </c>
      <c r="H4" s="4">
        <f>COUNTIFS(請假明細!$C$4:$C$103,$D4,請假明細!$D$4:$D$103,"&lt;="&amp;DATE(2026,9,30),請假明細!$E$4:$E$103,"&gt;="&amp;DATE(2026,9,1))</f>
        <v>0</v>
      </c>
    </row>
    <row r="5" spans="1:8">
      <c r="A5" s="8" t="s">
        <v>34</v>
      </c>
      <c r="B5" s="4">
        <f>SUM(請假明細!$F$4:$F$103)</f>
        <v>21</v>
      </c>
      <c r="D5" s="9" t="s">
        <v>17</v>
      </c>
      <c r="E5" s="4">
        <f>COUNTIFS(請假明細!$C$4:$C$103,$D5,請假明細!$D$4:$D$103,"&lt;="&amp;DATE(2026,6,30),請假明細!$E$4:$E$103,"&gt;="&amp;DATE(2026,6,1))</f>
        <v>0</v>
      </c>
      <c r="F5" s="4">
        <f>COUNTIFS(請假明細!$C$4:$C$103,$D5,請假明細!$D$4:$D$103,"&lt;="&amp;DATE(2026,7,31),請假明細!$E$4:$E$103,"&gt;="&amp;DATE(2026,7,1))</f>
        <v>0</v>
      </c>
      <c r="G5" s="4">
        <f>COUNTIFS(請假明細!$C$4:$C$103,$D5,請假明細!$D$4:$D$103,"&lt;="&amp;DATE(2026,8,31),請假明細!$E$4:$E$103,"&gt;="&amp;DATE(2026,8,1))</f>
        <v>0</v>
      </c>
      <c r="H5" s="4">
        <f>COUNTIFS(請假明細!$C$4:$C$103,$D5,請假明細!$D$4:$D$103,"&lt;="&amp;DATE(2026,9,30),請假明細!$E$4:$E$103,"&gt;="&amp;DATE(2026,9,1))</f>
        <v>0</v>
      </c>
    </row>
    <row r="6" spans="1:8">
      <c r="A6" s="8" t="s">
        <v>35</v>
      </c>
      <c r="B6" s="4">
        <f>COUNTIF(請假明細!$F$4:$F$103,"&gt;=3")</f>
        <v>3</v>
      </c>
      <c r="D6" s="9" t="s">
        <v>18</v>
      </c>
      <c r="E6" s="4">
        <f>COUNTIFS(請假明細!$C$4:$C$103,$D6,請假明細!$D$4:$D$103,"&lt;="&amp;DATE(2026,6,30),請假明細!$E$4:$E$103,"&gt;="&amp;DATE(2026,6,1))</f>
        <v>5</v>
      </c>
      <c r="F6" s="4">
        <f>COUNTIFS(請假明細!$C$4:$C$103,$D6,請假明細!$D$4:$D$103,"&lt;="&amp;DATE(2026,7,31),請假明細!$E$4:$E$103,"&gt;="&amp;DATE(2026,7,1))</f>
        <v>2</v>
      </c>
      <c r="G6" s="4">
        <f>COUNTIFS(請假明細!$C$4:$C$103,$D6,請假明細!$D$4:$D$103,"&lt;="&amp;DATE(2026,8,31),請假明細!$E$4:$E$103,"&gt;="&amp;DATE(2026,8,1))</f>
        <v>1</v>
      </c>
      <c r="H6" s="4">
        <f>COUNTIFS(請假明細!$C$4:$C$103,$D6,請假明細!$D$4:$D$103,"&lt;="&amp;DATE(2026,9,30),請假明細!$E$4:$E$103,"&gt;="&amp;DATE(2026,9,1))</f>
        <v>0</v>
      </c>
    </row>
    <row r="7" spans="1:8">
      <c r="A7" s="8" t="s">
        <v>36</v>
      </c>
      <c r="B7" s="4">
        <f>COUNTIF(請假明細!$F$4:$F$103,"&gt;=5")</f>
        <v>2</v>
      </c>
    </row>
    <row r="8" spans="1:8">
      <c r="A8" s="8" t="s">
        <v>37</v>
      </c>
      <c r="B8" s="4">
        <f>MAX(每日重疊統計!$D$4:$D$125)</f>
        <v>2</v>
      </c>
    </row>
    <row r="9" spans="1:8">
      <c r="A9" s="8" t="s">
        <v>38</v>
      </c>
      <c r="B9" s="4">
        <f>COUNTIFS(請假明細!$B$4:$B$103,"?*",請假明細!$H$4:$H$103,"")</f>
        <v>0</v>
      </c>
    </row>
    <row r="10" spans="1:8">
      <c r="A10" s="8" t="s">
        <v>39</v>
      </c>
      <c r="B10" s="4">
        <f>COUNTIFS(請假明細!$B$4:$B$103,"?*",請假明細!$I$4:$I$103,"&lt;&gt;已核准")</f>
        <v>8</v>
      </c>
    </row>
    <row r="13" spans="1:8">
      <c r="A13" s="2" t="s">
        <v>40</v>
      </c>
      <c r="B13" s="2" t="s">
        <v>29</v>
      </c>
      <c r="C13" s="2" t="s">
        <v>30</v>
      </c>
      <c r="D13" s="2" t="s">
        <v>31</v>
      </c>
      <c r="E13" s="2" t="s">
        <v>32</v>
      </c>
    </row>
    <row r="14" spans="1:8">
      <c r="A14" s="9" t="s">
        <v>41</v>
      </c>
      <c r="B14" s="4">
        <f>COUNTIFS(請假明細!$D$4:$D$103,"&lt;="&amp;DATE(2026,6,30),請假明細!$E$4:$E$103,"&gt;="&amp;DATE(2026,6,1))</f>
        <v>5</v>
      </c>
      <c r="C14" s="4">
        <f>COUNTIFS(請假明細!$D$4:$D$103,"&lt;="&amp;DATE(2026,7,31),請假明細!$E$4:$E$103,"&gt;="&amp;DATE(2026,7,1))</f>
        <v>2</v>
      </c>
      <c r="D14" s="4">
        <f>COUNTIFS(請假明細!$D$4:$D$103,"&lt;="&amp;DATE(2026,8,31),請假明細!$E$4:$E$103,"&gt;="&amp;DATE(2026,8,1))</f>
        <v>1</v>
      </c>
      <c r="E14" s="4">
        <f>COUNTIFS(請假明細!$D$4:$D$103,"&lt;="&amp;DATE(2026,9,30),請假明細!$E$4:$E$103,"&gt;="&amp;DATE(2026,9,1))</f>
        <v>0</v>
      </c>
    </row>
  </sheetData>
  <mergeCells count="1">
    <mergeCell ref="A1:H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3.8"/>
  <cols>
    <col min="1" max="4" width="16" customWidth="1"/>
  </cols>
  <sheetData>
    <row r="1" spans="1:4">
      <c r="A1" s="1" t="s">
        <v>3</v>
      </c>
      <c r="B1" s="1" t="s">
        <v>42</v>
      </c>
      <c r="C1" s="1" t="s">
        <v>7</v>
      </c>
      <c r="D1" s="1" t="s">
        <v>43</v>
      </c>
    </row>
    <row r="2" spans="1:4">
      <c r="A2" t="s">
        <v>16</v>
      </c>
      <c r="B2" t="s">
        <v>44</v>
      </c>
      <c r="C2" t="s">
        <v>45</v>
      </c>
      <c r="D2" t="s">
        <v>45</v>
      </c>
    </row>
    <row r="3" spans="1:4">
      <c r="A3" t="s">
        <v>17</v>
      </c>
      <c r="B3" t="s">
        <v>46</v>
      </c>
      <c r="C3" t="s">
        <v>47</v>
      </c>
      <c r="D3" t="s">
        <v>47</v>
      </c>
    </row>
    <row r="4" spans="1:4">
      <c r="A4" t="s">
        <v>18</v>
      </c>
      <c r="B4" t="s">
        <v>48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請假明細</vt:lpstr>
      <vt:lpstr>每日重疊統計</vt:lpstr>
      <vt:lpstr>統計總表</vt:lpstr>
      <vt:lpstr>清單設定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Shilun Yen 顏仕倫</cp:lastModifiedBy>
  <dcterms:modified xsi:type="dcterms:W3CDTF">2026-06-23T10:15:26Z</dcterms:modified>
</cp:coreProperties>
</file>